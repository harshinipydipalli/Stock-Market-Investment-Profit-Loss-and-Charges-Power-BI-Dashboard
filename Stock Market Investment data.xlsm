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cuments\7.FIN\FOLDER\"/>
    </mc:Choice>
  </mc:AlternateContent>
  <xr:revisionPtr revIDLastSave="0" documentId="13_ncr:1_{C49CE2A9-ACA8-45CB-A02A-6F4CD8B0CABF}" xr6:coauthVersionLast="36" xr6:coauthVersionMax="36" xr10:uidLastSave="{00000000-0000-0000-0000-000000000000}"/>
  <bookViews>
    <workbookView xWindow="0" yWindow="0" windowWidth="20490" windowHeight="7095" firstSheet="1" activeTab="3" xr2:uid="{74D67A3D-0D56-417A-8A65-7C4BC5BAE77D}"/>
  </bookViews>
  <sheets>
    <sheet name="MONTH CONVERSION" sheetId="93" r:id="rId1"/>
    <sheet name="ZERODHA" sheetId="73" r:id="rId2"/>
    <sheet name="ZERODHA CHARGES" sheetId="76" r:id="rId3"/>
    <sheet name="ZERODHA DEBITS" sheetId="7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76" l="1"/>
  <c r="A4" i="76"/>
  <c r="A5" i="76"/>
  <c r="A6" i="76"/>
  <c r="A7" i="76"/>
  <c r="A8" i="76"/>
  <c r="A9" i="76"/>
  <c r="A10" i="76"/>
  <c r="A11" i="76"/>
  <c r="A12" i="76"/>
  <c r="A3" i="75"/>
  <c r="A4" i="75"/>
  <c r="A5" i="75"/>
  <c r="A6" i="75"/>
  <c r="A7" i="75"/>
  <c r="A8" i="75"/>
  <c r="A9" i="75"/>
  <c r="A10" i="75"/>
  <c r="A11" i="75"/>
  <c r="A12" i="75"/>
  <c r="A13" i="75"/>
  <c r="A14" i="75"/>
  <c r="A15" i="75"/>
  <c r="A16" i="75"/>
  <c r="A17" i="75"/>
  <c r="A18" i="75"/>
  <c r="A19" i="75"/>
  <c r="A20" i="75"/>
  <c r="A21" i="75"/>
  <c r="A22" i="75"/>
  <c r="A23" i="75"/>
  <c r="A24" i="75"/>
  <c r="A25" i="75"/>
  <c r="A26" i="75"/>
  <c r="A27" i="75"/>
  <c r="A28" i="75"/>
  <c r="A29" i="75"/>
  <c r="A30" i="75"/>
  <c r="A31" i="75"/>
  <c r="A32" i="75"/>
  <c r="A33" i="75"/>
  <c r="A34" i="75"/>
  <c r="A35" i="75"/>
  <c r="A36" i="75"/>
  <c r="A37" i="75"/>
  <c r="A38" i="75"/>
  <c r="A39" i="75"/>
  <c r="A40" i="75"/>
  <c r="A41" i="75"/>
  <c r="A42" i="75"/>
  <c r="A43" i="75"/>
  <c r="A44" i="75"/>
  <c r="A45" i="75"/>
  <c r="A46" i="75"/>
  <c r="A47" i="75"/>
  <c r="A48" i="75"/>
  <c r="A49" i="75"/>
  <c r="A50" i="75"/>
  <c r="A51" i="75"/>
  <c r="A52" i="75"/>
  <c r="A53" i="75"/>
  <c r="A54" i="75"/>
  <c r="A55" i="75"/>
  <c r="A56" i="75"/>
  <c r="A57" i="75"/>
  <c r="A58" i="75"/>
  <c r="A59" i="75"/>
  <c r="A60" i="75"/>
  <c r="A61" i="75"/>
  <c r="A62" i="75"/>
  <c r="A63" i="75"/>
  <c r="A64" i="75"/>
  <c r="A65" i="75"/>
  <c r="A66" i="75"/>
  <c r="A67" i="75"/>
  <c r="A68" i="75"/>
  <c r="A69" i="75"/>
  <c r="A70" i="75"/>
  <c r="A71" i="75"/>
  <c r="A72" i="75"/>
  <c r="A73" i="75"/>
  <c r="A74" i="75"/>
  <c r="A75" i="75"/>
  <c r="A76" i="75"/>
  <c r="A77" i="75"/>
  <c r="A78" i="75"/>
  <c r="A79" i="75"/>
  <c r="A80" i="75"/>
  <c r="A81" i="75"/>
  <c r="A82" i="75"/>
  <c r="A83" i="75"/>
  <c r="A84" i="75"/>
  <c r="A85" i="75"/>
  <c r="A86" i="75"/>
  <c r="A87" i="75"/>
  <c r="A88" i="75"/>
  <c r="A89" i="75"/>
  <c r="A90" i="75"/>
  <c r="A91" i="75"/>
  <c r="A92" i="75"/>
  <c r="A93" i="75"/>
  <c r="A94" i="75"/>
  <c r="A95" i="75"/>
  <c r="A96" i="75"/>
  <c r="A97" i="75"/>
  <c r="A98" i="75"/>
  <c r="A99" i="75"/>
  <c r="A100" i="75"/>
  <c r="A101" i="75"/>
  <c r="A102" i="75"/>
  <c r="A103" i="75"/>
  <c r="A104" i="75"/>
  <c r="A105" i="75"/>
  <c r="A106" i="75"/>
  <c r="A107" i="75"/>
  <c r="A108" i="75"/>
  <c r="A109" i="75"/>
  <c r="A110" i="75"/>
  <c r="A111" i="75"/>
  <c r="A112" i="75"/>
  <c r="A113" i="75"/>
  <c r="A114" i="75"/>
  <c r="A2" i="75"/>
  <c r="A2" i="76"/>
  <c r="A23" i="73"/>
  <c r="A24" i="73"/>
  <c r="A25" i="73"/>
  <c r="A26" i="73"/>
  <c r="A27" i="73"/>
  <c r="A28" i="73"/>
  <c r="A29" i="73"/>
  <c r="A30" i="73"/>
  <c r="A31" i="73"/>
  <c r="A32" i="73"/>
  <c r="A33" i="73"/>
  <c r="A34" i="73"/>
  <c r="A35" i="73"/>
  <c r="A36" i="73"/>
  <c r="A37" i="73"/>
  <c r="A38" i="73"/>
  <c r="A39" i="73"/>
  <c r="A40" i="73"/>
  <c r="A41" i="73"/>
  <c r="A42" i="73"/>
  <c r="A43" i="73"/>
  <c r="A44" i="73"/>
  <c r="A45" i="73"/>
  <c r="A46" i="73"/>
  <c r="A47" i="73"/>
  <c r="A48" i="73"/>
  <c r="A49" i="73"/>
  <c r="A50" i="73"/>
  <c r="A51" i="73"/>
  <c r="A52" i="73"/>
  <c r="A53" i="73"/>
  <c r="A54" i="73"/>
  <c r="A55" i="73"/>
  <c r="A56" i="73"/>
  <c r="A57" i="73"/>
  <c r="A58" i="73"/>
  <c r="A59" i="73"/>
  <c r="A60" i="73"/>
  <c r="A61" i="73"/>
  <c r="A62" i="73"/>
  <c r="A63" i="73"/>
  <c r="A64" i="73"/>
  <c r="A65" i="73"/>
  <c r="A66" i="73"/>
  <c r="A67" i="73"/>
  <c r="A68" i="73"/>
  <c r="A69" i="73"/>
  <c r="A70" i="73"/>
  <c r="A71" i="73"/>
  <c r="A72" i="73"/>
  <c r="A73" i="73"/>
  <c r="A74" i="73"/>
  <c r="A75" i="73"/>
  <c r="A76" i="73"/>
  <c r="A77" i="73"/>
  <c r="A78" i="73"/>
  <c r="A79" i="73"/>
  <c r="A80" i="73"/>
  <c r="A81" i="73"/>
  <c r="A82" i="73"/>
  <c r="A83" i="73"/>
  <c r="A84" i="73"/>
  <c r="A85" i="73"/>
  <c r="A86" i="73"/>
  <c r="A87" i="73"/>
  <c r="A88" i="73"/>
  <c r="A89" i="73"/>
  <c r="A90" i="73"/>
  <c r="A91" i="73"/>
  <c r="A92" i="73"/>
  <c r="A93" i="73"/>
  <c r="A94" i="73"/>
  <c r="A95" i="73"/>
  <c r="A96" i="73"/>
  <c r="A97" i="73"/>
  <c r="A98" i="73"/>
  <c r="A99" i="73"/>
  <c r="A100" i="73"/>
  <c r="A101" i="73"/>
  <c r="A102" i="73"/>
  <c r="A103" i="73"/>
  <c r="A104" i="73"/>
  <c r="A105" i="73"/>
  <c r="A106" i="73"/>
  <c r="A107" i="73"/>
  <c r="A108" i="73"/>
  <c r="A109" i="73"/>
  <c r="A8" i="73"/>
  <c r="A9" i="73"/>
  <c r="A10" i="73"/>
  <c r="A11" i="73"/>
  <c r="A12" i="73"/>
  <c r="A13" i="73"/>
  <c r="A14" i="73"/>
  <c r="A15" i="73"/>
  <c r="A16" i="73"/>
  <c r="A17" i="73"/>
  <c r="A18" i="73"/>
  <c r="A19" i="73"/>
  <c r="A20" i="73"/>
  <c r="A21" i="73"/>
  <c r="A22" i="73"/>
  <c r="A5" i="73"/>
  <c r="A6" i="73"/>
  <c r="A7" i="73"/>
  <c r="A4" i="73"/>
  <c r="A3" i="73"/>
  <c r="A2" i="73"/>
</calcChain>
</file>

<file path=xl/sharedStrings.xml><?xml version="1.0" encoding="utf-8"?>
<sst xmlns="http://schemas.openxmlformats.org/spreadsheetml/2006/main" count="606" uniqueCount="109">
  <si>
    <t>Month</t>
  </si>
  <si>
    <t>Symbol</t>
  </si>
  <si>
    <t>Quantity</t>
  </si>
  <si>
    <t>Buy Value</t>
  </si>
  <si>
    <t>Sell Value</t>
  </si>
  <si>
    <t>Realized P&amp;L</t>
  </si>
  <si>
    <t>Realized P&amp;L Pct.</t>
  </si>
  <si>
    <t>Particulars</t>
  </si>
  <si>
    <t>Posting Date</t>
  </si>
  <si>
    <t>Debit</t>
  </si>
  <si>
    <t>Credit</t>
  </si>
  <si>
    <t>2024-02-01</t>
  </si>
  <si>
    <t>2024-02-13</t>
  </si>
  <si>
    <t>2024-02-22</t>
  </si>
  <si>
    <t>2024-01-01</t>
  </si>
  <si>
    <t>2024-01-03</t>
  </si>
  <si>
    <t>2024-01-04</t>
  </si>
  <si>
    <t>2024-01-05</t>
  </si>
  <si>
    <t>2024-01-11</t>
  </si>
  <si>
    <t>2024-01-12</t>
  </si>
  <si>
    <t>2024-01-15</t>
  </si>
  <si>
    <t>2024-01-17</t>
  </si>
  <si>
    <t>2024-01-18</t>
  </si>
  <si>
    <t>2024-01-19</t>
  </si>
  <si>
    <t>2024-01-30</t>
  </si>
  <si>
    <t>Brokerage - Z</t>
  </si>
  <si>
    <t>Exchange Transaction Charges - Z</t>
  </si>
  <si>
    <t>Clearing Charges - Z</t>
  </si>
  <si>
    <t>Central GST - Z</t>
  </si>
  <si>
    <t>State GST - Z</t>
  </si>
  <si>
    <t>Integrated GST - Z</t>
  </si>
  <si>
    <t>Securities Transaction Tax - Z</t>
  </si>
  <si>
    <t>SEBI Turnover Fees - Z</t>
  </si>
  <si>
    <t>Stamp Duty - Z</t>
  </si>
  <si>
    <t>IPFT</t>
  </si>
  <si>
    <t>Feb</t>
  </si>
  <si>
    <t>2024-03-04</t>
  </si>
  <si>
    <t>2024-03-14</t>
  </si>
  <si>
    <t>2024-03-20</t>
  </si>
  <si>
    <t>2024-03-21</t>
  </si>
  <si>
    <t>2024-04-01</t>
  </si>
  <si>
    <t>2024-04-02</t>
  </si>
  <si>
    <t>2024-04-04</t>
  </si>
  <si>
    <t>2024-04-19</t>
  </si>
  <si>
    <t>2024-04-22</t>
  </si>
  <si>
    <t>2024-04-23</t>
  </si>
  <si>
    <t>2024-04-25</t>
  </si>
  <si>
    <t>2024-04-26</t>
  </si>
  <si>
    <t>2024-04-29</t>
  </si>
  <si>
    <t>2024-05-03</t>
  </si>
  <si>
    <t>2024-05-13</t>
  </si>
  <si>
    <t>2024-05-17</t>
  </si>
  <si>
    <t>2024-05-18</t>
  </si>
  <si>
    <t>2024-05-21</t>
  </si>
  <si>
    <t>2024-05-24</t>
  </si>
  <si>
    <t>2024-05-27</t>
  </si>
  <si>
    <t>2024-06-03</t>
  </si>
  <si>
    <t>2024-06-04</t>
  </si>
  <si>
    <t>2024-06-05</t>
  </si>
  <si>
    <t>2024-06-06</t>
  </si>
  <si>
    <t>2024-06-07</t>
  </si>
  <si>
    <t>2024-06-11</t>
  </si>
  <si>
    <t>2024-06-13</t>
  </si>
  <si>
    <t>2024-06-14</t>
  </si>
  <si>
    <t>2024-06-18</t>
  </si>
  <si>
    <t>2024-06-19</t>
  </si>
  <si>
    <t>2024-06-21</t>
  </si>
  <si>
    <t>2024-06-24</t>
  </si>
  <si>
    <t>2024-06-26</t>
  </si>
  <si>
    <t>2024-06-27</t>
  </si>
  <si>
    <t>2024-07-02</t>
  </si>
  <si>
    <t>2024-07-15</t>
  </si>
  <si>
    <t>2024-07-18</t>
  </si>
  <si>
    <t>2024-07-26</t>
  </si>
  <si>
    <t>2024-07-29</t>
  </si>
  <si>
    <t>2024-08-13</t>
  </si>
  <si>
    <t>2024-08-17</t>
  </si>
  <si>
    <t>May</t>
  </si>
  <si>
    <t>2024-09-05</t>
  </si>
  <si>
    <t>2024-09-10</t>
  </si>
  <si>
    <t>2024-10-08</t>
  </si>
  <si>
    <t>2024-10-14</t>
  </si>
  <si>
    <t>2024-10-29</t>
  </si>
  <si>
    <t>2024-11-05</t>
  </si>
  <si>
    <t>2024-11-07</t>
  </si>
  <si>
    <t>2024-11-12</t>
  </si>
  <si>
    <t>2024-11-19</t>
  </si>
  <si>
    <t>2024-11-27</t>
  </si>
  <si>
    <t>2024-11-28</t>
  </si>
  <si>
    <t>Jan</t>
  </si>
  <si>
    <t>Mar</t>
  </si>
  <si>
    <t>Apr</t>
  </si>
  <si>
    <t>Aug</t>
  </si>
  <si>
    <t>Sep</t>
  </si>
  <si>
    <t>Oct</t>
  </si>
  <si>
    <t>Nov</t>
  </si>
  <si>
    <t>Jun</t>
  </si>
  <si>
    <t>Jul</t>
  </si>
  <si>
    <t>MN</t>
  </si>
  <si>
    <t>Dec</t>
  </si>
  <si>
    <t>Month Number</t>
  </si>
  <si>
    <t>ABC</t>
  </si>
  <si>
    <t>XYZ</t>
  </si>
  <si>
    <t>MNO</t>
  </si>
  <si>
    <t>UVW</t>
  </si>
  <si>
    <t>AMC for Demat Account</t>
  </si>
  <si>
    <t>DP Charges for Sale of</t>
  </si>
  <si>
    <t>Call and Trade charges</t>
  </si>
  <si>
    <t>Charges for enabling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</si>
</sst>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1" formatCode="_ [$₹-4009]\ * #,##0.00_ ;_ [$₹-4009]\ * \-#,##0.00_ ;_ [$₹-4009]\ * &quot;-&quot;??_ ;_ 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5" fillId="0" borderId="0"/>
  </cellStyleXfs>
  <cellXfs count="58">
    <xf numFmtId="0" fontId="0" fillId="0" borderId="0" xfId="0"/>
    <xf numFmtId="0" fontId="3" fillId="0" borderId="0" xfId="0" applyFont="1"/>
    <xf numFmtId="2" fontId="0" fillId="0" borderId="0" xfId="0" applyNumberFormat="1"/>
    <xf numFmtId="171" fontId="0" fillId="0" borderId="0" xfId="0" applyNumberFormat="1"/>
    <xf numFmtId="0" fontId="2" fillId="0" borderId="0" xfId="0" applyFont="1"/>
    <xf numFmtId="0" fontId="5" fillId="0" borderId="0" xfId="3"/>
    <xf numFmtId="0" fontId="5" fillId="0" borderId="0" xfId="3" applyAlignment="1">
      <alignment horizontal="left"/>
    </xf>
    <xf numFmtId="0" fontId="0" fillId="0" borderId="0" xfId="0" applyAlignment="1">
      <alignment horizontal="left"/>
    </xf>
    <xf numFmtId="2" fontId="5" fillId="0" borderId="0" xfId="3" applyNumberFormat="1" applyAlignment="1">
      <alignment horizontal="left"/>
    </xf>
    <xf numFmtId="2" fontId="0" fillId="0" borderId="0" xfId="1" applyNumberFormat="1" applyFont="1" applyAlignment="1">
      <alignment horizontal="left"/>
    </xf>
    <xf numFmtId="2" fontId="5" fillId="0" borderId="0" xfId="1" applyNumberFormat="1" applyFont="1" applyAlignment="1">
      <alignment horizontal="left"/>
    </xf>
    <xf numFmtId="2" fontId="0" fillId="0" borderId="0" xfId="1" applyNumberFormat="1" applyFont="1"/>
    <xf numFmtId="0" fontId="6" fillId="0" borderId="0" xfId="3" applyFont="1" applyAlignment="1">
      <alignment horizontal="left"/>
    </xf>
    <xf numFmtId="2" fontId="6" fillId="0" borderId="0" xfId="1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4" fillId="0" borderId="0" xfId="0" applyFont="1"/>
    <xf numFmtId="0" fontId="5" fillId="0" borderId="0" xfId="3" applyAlignment="1">
      <alignment horizontal="right"/>
    </xf>
    <xf numFmtId="0" fontId="5" fillId="0" borderId="0" xfId="3" applyAlignment="1">
      <alignment horizontal="left"/>
    </xf>
    <xf numFmtId="171" fontId="6" fillId="0" borderId="0" xfId="3" applyNumberFormat="1" applyFont="1" applyAlignment="1">
      <alignment horizontal="left"/>
    </xf>
    <xf numFmtId="171" fontId="0" fillId="0" borderId="0" xfId="0" applyNumberFormat="1" applyAlignment="1">
      <alignment horizontal="left"/>
    </xf>
    <xf numFmtId="171" fontId="5" fillId="0" borderId="0" xfId="3" applyNumberFormat="1" applyAlignment="1">
      <alignment horizontal="left"/>
    </xf>
    <xf numFmtId="171" fontId="6" fillId="0" borderId="0" xfId="0" applyNumberFormat="1" applyFont="1" applyAlignment="1">
      <alignment horizontal="left"/>
    </xf>
    <xf numFmtId="0" fontId="5" fillId="0" borderId="0" xfId="3"/>
    <xf numFmtId="0" fontId="5" fillId="0" borderId="0" xfId="3" applyAlignment="1">
      <alignment horizontal="left"/>
    </xf>
    <xf numFmtId="0" fontId="5" fillId="0" borderId="0" xfId="3"/>
    <xf numFmtId="0" fontId="5" fillId="0" borderId="0" xfId="3" applyAlignment="1">
      <alignment horizontal="left"/>
    </xf>
    <xf numFmtId="0" fontId="5" fillId="0" borderId="0" xfId="3"/>
    <xf numFmtId="0" fontId="5" fillId="0" borderId="0" xfId="3" applyAlignment="1">
      <alignment horizontal="left"/>
    </xf>
    <xf numFmtId="0" fontId="5" fillId="0" borderId="0" xfId="3"/>
    <xf numFmtId="0" fontId="5" fillId="0" borderId="0" xfId="3" applyAlignment="1">
      <alignment horizontal="left"/>
    </xf>
    <xf numFmtId="0" fontId="5" fillId="0" borderId="0" xfId="3"/>
    <xf numFmtId="0" fontId="5" fillId="0" borderId="0" xfId="3" applyAlignment="1">
      <alignment horizontal="left"/>
    </xf>
    <xf numFmtId="0" fontId="5" fillId="0" borderId="0" xfId="3"/>
    <xf numFmtId="0" fontId="5" fillId="0" borderId="0" xfId="3" applyAlignment="1">
      <alignment horizontal="left"/>
    </xf>
    <xf numFmtId="0" fontId="5" fillId="0" borderId="0" xfId="3"/>
    <xf numFmtId="0" fontId="5" fillId="0" borderId="0" xfId="3" applyAlignment="1">
      <alignment horizontal="left"/>
    </xf>
    <xf numFmtId="0" fontId="5" fillId="0" borderId="0" xfId="3"/>
    <xf numFmtId="0" fontId="5" fillId="0" borderId="0" xfId="3" applyAlignment="1">
      <alignment horizontal="left"/>
    </xf>
    <xf numFmtId="0" fontId="5" fillId="0" borderId="0" xfId="3"/>
    <xf numFmtId="0" fontId="5" fillId="0" borderId="0" xfId="3" applyAlignment="1">
      <alignment horizontal="left"/>
    </xf>
    <xf numFmtId="0" fontId="5" fillId="0" borderId="0" xfId="3" applyAlignment="1">
      <alignment horizontal="left"/>
    </xf>
    <xf numFmtId="0" fontId="5" fillId="0" borderId="0" xfId="3"/>
    <xf numFmtId="0" fontId="5" fillId="0" borderId="0" xfId="3" applyAlignment="1">
      <alignment horizontal="left"/>
    </xf>
    <xf numFmtId="0" fontId="5" fillId="0" borderId="0" xfId="3" applyAlignment="1">
      <alignment horizontal="left"/>
    </xf>
    <xf numFmtId="0" fontId="5" fillId="0" borderId="0" xfId="3"/>
    <xf numFmtId="0" fontId="5" fillId="0" borderId="0" xfId="3" applyAlignment="1">
      <alignment horizontal="left"/>
    </xf>
    <xf numFmtId="0" fontId="5" fillId="0" borderId="0" xfId="3"/>
    <xf numFmtId="0" fontId="5" fillId="0" borderId="0" xfId="3" applyAlignment="1">
      <alignment horizontal="left"/>
    </xf>
    <xf numFmtId="0" fontId="5" fillId="0" borderId="0" xfId="3"/>
    <xf numFmtId="0" fontId="5" fillId="0" borderId="0" xfId="3" applyAlignment="1">
      <alignment horizontal="left"/>
    </xf>
    <xf numFmtId="0" fontId="5" fillId="0" borderId="0" xfId="3"/>
    <xf numFmtId="0" fontId="5" fillId="0" borderId="0" xfId="3" applyAlignment="1">
      <alignment horizontal="left"/>
    </xf>
    <xf numFmtId="0" fontId="5" fillId="0" borderId="0" xfId="3"/>
    <xf numFmtId="0" fontId="5" fillId="0" borderId="0" xfId="3" applyAlignment="1">
      <alignment horizontal="left"/>
    </xf>
    <xf numFmtId="2" fontId="4" fillId="0" borderId="0" xfId="0" applyNumberFormat="1" applyFont="1"/>
    <xf numFmtId="2" fontId="5" fillId="0" borderId="0" xfId="3" applyNumberFormat="1" applyAlignment="1">
      <alignment horizontal="right"/>
    </xf>
    <xf numFmtId="0" fontId="0" fillId="0" borderId="0" xfId="0" applyNumberFormat="1"/>
    <xf numFmtId="0" fontId="5" fillId="0" borderId="0" xfId="3" applyNumberFormat="1" applyAlignment="1">
      <alignment horizontal="right"/>
    </xf>
  </cellXfs>
  <cellStyles count="4">
    <cellStyle name="Normal" xfId="0" builtinId="0"/>
    <cellStyle name="Normal 2" xfId="3" xr:uid="{00000000-0005-0000-0000-000032000000}"/>
    <cellStyle name="Normal 3" xfId="2" xr:uid="{00738574-21D6-4400-A336-EB47A6388F05}"/>
    <cellStyle name="Percent" xfId="1" builtinId="5"/>
  </cellStyles>
  <dxfs count="0"/>
  <tableStyles count="0" defaultTableStyle="TableStyleMedium2" defaultPivotStyle="PivotStyleLight16"/>
  <colors>
    <mruColors>
      <color rgb="FF979BE9"/>
      <color rgb="FF00421E"/>
      <color rgb="FF009900"/>
      <color rgb="FFA595EB"/>
      <color rgb="FF003E1C"/>
      <color rgb="FFFFFF00"/>
      <color rgb="FF003399"/>
      <color rgb="FF003366"/>
      <color rgb="FF000066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Red Orange">
      <a:dk1>
        <a:sysClr val="windowText" lastClr="000000"/>
      </a:dk1>
      <a:lt1>
        <a:sysClr val="window" lastClr="FFFFFF"/>
      </a:lt1>
      <a:dk2>
        <a:srgbClr val="505046"/>
      </a:dk2>
      <a:lt2>
        <a:srgbClr val="EEECE1"/>
      </a:lt2>
      <a:accent1>
        <a:srgbClr val="E84C22"/>
      </a:accent1>
      <a:accent2>
        <a:srgbClr val="FFBD47"/>
      </a:accent2>
      <a:accent3>
        <a:srgbClr val="B64926"/>
      </a:accent3>
      <a:accent4>
        <a:srgbClr val="FF8427"/>
      </a:accent4>
      <a:accent5>
        <a:srgbClr val="CC9900"/>
      </a:accent5>
      <a:accent6>
        <a:srgbClr val="B22600"/>
      </a:accent6>
      <a:hlink>
        <a:srgbClr val="CC9900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DDD5-EEC0-4925-8940-3EA6991B47F7}">
  <dimension ref="A1:B13"/>
  <sheetViews>
    <sheetView workbookViewId="0">
      <selection activeCell="A2" sqref="A2:A114"/>
    </sheetView>
  </sheetViews>
  <sheetFormatPr defaultRowHeight="15" x14ac:dyDescent="0.25"/>
  <cols>
    <col min="1" max="1" width="7" bestFit="1" customWidth="1"/>
    <col min="2" max="2" width="14.85546875" bestFit="1" customWidth="1"/>
  </cols>
  <sheetData>
    <row r="1" spans="1:2" x14ac:dyDescent="0.25">
      <c r="A1" s="1" t="s">
        <v>0</v>
      </c>
      <c r="B1" s="1" t="s">
        <v>100</v>
      </c>
    </row>
    <row r="2" spans="1:2" x14ac:dyDescent="0.25">
      <c r="A2" t="s">
        <v>89</v>
      </c>
      <c r="B2">
        <v>1</v>
      </c>
    </row>
    <row r="3" spans="1:2" x14ac:dyDescent="0.25">
      <c r="A3" t="s">
        <v>35</v>
      </c>
      <c r="B3">
        <v>2</v>
      </c>
    </row>
    <row r="4" spans="1:2" x14ac:dyDescent="0.25">
      <c r="A4" t="s">
        <v>90</v>
      </c>
      <c r="B4">
        <v>3</v>
      </c>
    </row>
    <row r="5" spans="1:2" x14ac:dyDescent="0.25">
      <c r="A5" t="s">
        <v>91</v>
      </c>
      <c r="B5">
        <v>4</v>
      </c>
    </row>
    <row r="6" spans="1:2" x14ac:dyDescent="0.25">
      <c r="A6" t="s">
        <v>77</v>
      </c>
      <c r="B6">
        <v>5</v>
      </c>
    </row>
    <row r="7" spans="1:2" x14ac:dyDescent="0.25">
      <c r="A7" t="s">
        <v>96</v>
      </c>
      <c r="B7">
        <v>6</v>
      </c>
    </row>
    <row r="8" spans="1:2" x14ac:dyDescent="0.25">
      <c r="A8" t="s">
        <v>97</v>
      </c>
      <c r="B8">
        <v>7</v>
      </c>
    </row>
    <row r="9" spans="1:2" x14ac:dyDescent="0.25">
      <c r="A9" t="s">
        <v>92</v>
      </c>
      <c r="B9">
        <v>8</v>
      </c>
    </row>
    <row r="10" spans="1:2" x14ac:dyDescent="0.25">
      <c r="A10" t="s">
        <v>93</v>
      </c>
      <c r="B10">
        <v>9</v>
      </c>
    </row>
    <row r="11" spans="1:2" x14ac:dyDescent="0.25">
      <c r="A11" t="s">
        <v>94</v>
      </c>
      <c r="B11">
        <v>10</v>
      </c>
    </row>
    <row r="12" spans="1:2" x14ac:dyDescent="0.25">
      <c r="A12" t="s">
        <v>95</v>
      </c>
      <c r="B12">
        <v>11</v>
      </c>
    </row>
    <row r="13" spans="1:2" x14ac:dyDescent="0.25">
      <c r="A13" t="s">
        <v>99</v>
      </c>
      <c r="B13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BD2A-0298-40C5-8FA8-4B9738EE1B6A}">
  <dimension ref="A1:H111"/>
  <sheetViews>
    <sheetView zoomScale="86" zoomScaleNormal="86" workbookViewId="0">
      <selection activeCell="C107" sqref="C107"/>
    </sheetView>
  </sheetViews>
  <sheetFormatPr defaultColWidth="13.42578125" defaultRowHeight="15" x14ac:dyDescent="0.25"/>
  <cols>
    <col min="1" max="1" width="4.5703125" bestFit="1" customWidth="1"/>
    <col min="2" max="2" width="8" bestFit="1" customWidth="1"/>
    <col min="3" max="3" width="8.42578125" bestFit="1" customWidth="1"/>
    <col min="4" max="4" width="10" bestFit="1" customWidth="1"/>
    <col min="5" max="6" width="14.5703125" style="3" bestFit="1" customWidth="1"/>
    <col min="7" max="7" width="14.7109375" style="3" bestFit="1" customWidth="1"/>
    <col min="8" max="8" width="18" style="11" bestFit="1" customWidth="1"/>
  </cols>
  <sheetData>
    <row r="1" spans="1:8" s="4" customFormat="1" ht="15.75" x14ac:dyDescent="0.25">
      <c r="A1" s="15" t="s">
        <v>98</v>
      </c>
      <c r="B1" s="12" t="s">
        <v>0</v>
      </c>
      <c r="C1" s="12" t="s">
        <v>1</v>
      </c>
      <c r="D1" s="12" t="s">
        <v>2</v>
      </c>
      <c r="E1" s="18" t="s">
        <v>3</v>
      </c>
      <c r="F1" s="18" t="s">
        <v>4</v>
      </c>
      <c r="G1" s="18" t="s">
        <v>5</v>
      </c>
      <c r="H1" s="13" t="s">
        <v>6</v>
      </c>
    </row>
    <row r="2" spans="1:8" x14ac:dyDescent="0.25">
      <c r="A2">
        <f>VLOOKUP(B2,'MONTH CONVERSION'!$A$2:$B$13,2,FALSE)</f>
        <v>1</v>
      </c>
      <c r="B2" t="s">
        <v>89</v>
      </c>
      <c r="C2" t="s">
        <v>101</v>
      </c>
      <c r="D2" s="7">
        <v>100</v>
      </c>
      <c r="E2" s="19">
        <v>2120</v>
      </c>
      <c r="F2" s="19">
        <v>2340</v>
      </c>
      <c r="G2" s="19">
        <v>220</v>
      </c>
      <c r="H2" s="9">
        <v>10.3774</v>
      </c>
    </row>
    <row r="3" spans="1:8" x14ac:dyDescent="0.25">
      <c r="A3">
        <f>VLOOKUP(B3,'MONTH CONVERSION'!$A$2:$B$13,2,FALSE)</f>
        <v>1</v>
      </c>
      <c r="B3" t="s">
        <v>89</v>
      </c>
      <c r="C3" t="s">
        <v>102</v>
      </c>
      <c r="D3" s="7">
        <v>417</v>
      </c>
      <c r="E3" s="19">
        <v>58793.05</v>
      </c>
      <c r="F3" s="19">
        <v>62934.400000000001</v>
      </c>
      <c r="G3" s="19">
        <v>4141.3500000000004</v>
      </c>
      <c r="H3" s="9">
        <v>7.0438999999999998</v>
      </c>
    </row>
    <row r="4" spans="1:8" x14ac:dyDescent="0.25">
      <c r="A4">
        <f>VLOOKUP(B4,'MONTH CONVERSION'!$A$2:$B$13,2,FALSE)</f>
        <v>1</v>
      </c>
      <c r="B4" t="s">
        <v>89</v>
      </c>
      <c r="C4" t="s">
        <v>103</v>
      </c>
      <c r="D4" s="7">
        <v>9</v>
      </c>
      <c r="E4" s="19">
        <v>447</v>
      </c>
      <c r="F4" s="19">
        <v>466.2</v>
      </c>
      <c r="G4" s="19">
        <v>19.2</v>
      </c>
      <c r="H4" s="9">
        <v>4.2953000000000001</v>
      </c>
    </row>
    <row r="5" spans="1:8" x14ac:dyDescent="0.25">
      <c r="A5">
        <f>VLOOKUP(B5,'MONTH CONVERSION'!$A$2:$B$13,2,FALSE)</f>
        <v>1</v>
      </c>
      <c r="B5" t="s">
        <v>89</v>
      </c>
      <c r="C5" t="s">
        <v>103</v>
      </c>
      <c r="D5" s="7">
        <v>36</v>
      </c>
      <c r="E5" s="19">
        <v>2217.1999999999998</v>
      </c>
      <c r="F5" s="19">
        <v>2305.2800000000002</v>
      </c>
      <c r="G5" s="19">
        <v>88.08</v>
      </c>
      <c r="H5" s="9">
        <v>3.9725999999999999</v>
      </c>
    </row>
    <row r="6" spans="1:8" x14ac:dyDescent="0.25">
      <c r="A6">
        <f>VLOOKUP(B6,'MONTH CONVERSION'!$A$2:$B$13,2,FALSE)</f>
        <v>1</v>
      </c>
      <c r="B6" t="s">
        <v>89</v>
      </c>
      <c r="C6" t="s">
        <v>104</v>
      </c>
      <c r="D6" s="7">
        <v>1000</v>
      </c>
      <c r="E6" s="19">
        <v>2510</v>
      </c>
      <c r="F6" s="19">
        <v>2580</v>
      </c>
      <c r="G6" s="19">
        <v>70</v>
      </c>
      <c r="H6" s="9">
        <v>2.7888000000000002</v>
      </c>
    </row>
    <row r="7" spans="1:8" x14ac:dyDescent="0.25">
      <c r="A7">
        <f>VLOOKUP(B7,'MONTH CONVERSION'!$A$2:$B$13,2,FALSE)</f>
        <v>1</v>
      </c>
      <c r="B7" t="s">
        <v>89</v>
      </c>
      <c r="C7" t="s">
        <v>104</v>
      </c>
      <c r="D7" s="7">
        <v>2</v>
      </c>
      <c r="E7" s="19">
        <v>904.7</v>
      </c>
      <c r="F7" s="19">
        <v>926</v>
      </c>
      <c r="G7" s="19">
        <v>21.3</v>
      </c>
      <c r="H7" s="9">
        <v>2.3544</v>
      </c>
    </row>
    <row r="8" spans="1:8" x14ac:dyDescent="0.25">
      <c r="A8">
        <f>VLOOKUP(B8,'MONTH CONVERSION'!$A$2:$B$13,2,FALSE)</f>
        <v>1</v>
      </c>
      <c r="B8" t="s">
        <v>89</v>
      </c>
      <c r="C8" t="s">
        <v>104</v>
      </c>
      <c r="D8" s="7">
        <v>235</v>
      </c>
      <c r="E8" s="19">
        <v>8407.75</v>
      </c>
      <c r="F8" s="19">
        <v>8600.9</v>
      </c>
      <c r="G8" s="19">
        <v>193.15</v>
      </c>
      <c r="H8" s="9">
        <v>2.2972999999999999</v>
      </c>
    </row>
    <row r="9" spans="1:8" x14ac:dyDescent="0.25">
      <c r="A9">
        <f>VLOOKUP(B9,'MONTH CONVERSION'!$A$2:$B$13,2,FALSE)</f>
        <v>1</v>
      </c>
      <c r="B9" t="s">
        <v>89</v>
      </c>
      <c r="C9" t="s">
        <v>104</v>
      </c>
      <c r="D9" s="7">
        <v>10</v>
      </c>
      <c r="E9" s="19">
        <v>2720.5</v>
      </c>
      <c r="F9" s="19">
        <v>2781.3</v>
      </c>
      <c r="G9" s="19">
        <v>60.8</v>
      </c>
      <c r="H9" s="9">
        <v>2.2349000000000001</v>
      </c>
    </row>
    <row r="10" spans="1:8" x14ac:dyDescent="0.25">
      <c r="A10">
        <f>VLOOKUP(B10,'MONTH CONVERSION'!$A$2:$B$13,2,FALSE)</f>
        <v>1</v>
      </c>
      <c r="B10" t="s">
        <v>89</v>
      </c>
      <c r="C10" t="s">
        <v>104</v>
      </c>
      <c r="D10" s="7">
        <v>305</v>
      </c>
      <c r="E10" s="19">
        <v>14544.5</v>
      </c>
      <c r="F10" s="19">
        <v>14850.5</v>
      </c>
      <c r="G10" s="19">
        <v>306</v>
      </c>
      <c r="H10" s="9">
        <v>2.1038999999999999</v>
      </c>
    </row>
    <row r="11" spans="1:8" x14ac:dyDescent="0.25">
      <c r="A11">
        <f>VLOOKUP(B11,'MONTH CONVERSION'!$A$2:$B$13,2,FALSE)</f>
        <v>1</v>
      </c>
      <c r="B11" t="s">
        <v>89</v>
      </c>
      <c r="C11" t="s">
        <v>104</v>
      </c>
      <c r="D11" s="7">
        <v>80</v>
      </c>
      <c r="E11" s="19">
        <v>3184</v>
      </c>
      <c r="F11" s="19">
        <v>3250.4</v>
      </c>
      <c r="G11" s="19">
        <v>66.400000000000006</v>
      </c>
      <c r="H11" s="9">
        <v>2.0853999999999999</v>
      </c>
    </row>
    <row r="12" spans="1:8" x14ac:dyDescent="0.25">
      <c r="A12">
        <f>VLOOKUP(B12,'MONTH CONVERSION'!$A$2:$B$13,2,FALSE)</f>
        <v>1</v>
      </c>
      <c r="B12" t="s">
        <v>89</v>
      </c>
      <c r="C12" t="s">
        <v>102</v>
      </c>
      <c r="D12" s="7">
        <v>1</v>
      </c>
      <c r="E12" s="19">
        <v>425.35</v>
      </c>
      <c r="F12" s="19">
        <v>428</v>
      </c>
      <c r="G12" s="19">
        <v>2.65</v>
      </c>
      <c r="H12" s="9">
        <v>0.623</v>
      </c>
    </row>
    <row r="13" spans="1:8" x14ac:dyDescent="0.25">
      <c r="A13">
        <f>VLOOKUP(B13,'MONTH CONVERSION'!$A$2:$B$13,2,FALSE)</f>
        <v>1</v>
      </c>
      <c r="B13" t="s">
        <v>89</v>
      </c>
      <c r="C13" t="s">
        <v>102</v>
      </c>
      <c r="D13" s="7">
        <v>50</v>
      </c>
      <c r="E13" s="19">
        <v>2220</v>
      </c>
      <c r="F13" s="19">
        <v>2232.5</v>
      </c>
      <c r="G13" s="19">
        <v>12.5</v>
      </c>
      <c r="H13" s="9">
        <v>0.56310000000000004</v>
      </c>
    </row>
    <row r="14" spans="1:8" x14ac:dyDescent="0.25">
      <c r="A14">
        <f>VLOOKUP(B14,'MONTH CONVERSION'!$A$2:$B$13,2,FALSE)</f>
        <v>1</v>
      </c>
      <c r="B14" t="s">
        <v>89</v>
      </c>
      <c r="C14" t="s">
        <v>102</v>
      </c>
      <c r="D14" s="7">
        <v>19</v>
      </c>
      <c r="E14" s="19">
        <v>3714.7</v>
      </c>
      <c r="F14" s="19">
        <v>3729.7</v>
      </c>
      <c r="G14" s="19">
        <v>15</v>
      </c>
      <c r="H14" s="9">
        <v>0.40379999999999999</v>
      </c>
    </row>
    <row r="15" spans="1:8" x14ac:dyDescent="0.25">
      <c r="A15">
        <f>VLOOKUP(B15,'MONTH CONVERSION'!$A$2:$B$13,2,FALSE)</f>
        <v>1</v>
      </c>
      <c r="B15" t="s">
        <v>89</v>
      </c>
      <c r="C15" t="s">
        <v>102</v>
      </c>
      <c r="D15" s="7">
        <v>20</v>
      </c>
      <c r="E15" s="19">
        <v>1754</v>
      </c>
      <c r="F15" s="19">
        <v>1759</v>
      </c>
      <c r="G15" s="19">
        <v>5</v>
      </c>
      <c r="H15" s="9">
        <v>0.28510000000000002</v>
      </c>
    </row>
    <row r="16" spans="1:8" x14ac:dyDescent="0.25">
      <c r="A16">
        <f>VLOOKUP(B16,'MONTH CONVERSION'!$A$2:$B$13,2,FALSE)</f>
        <v>2</v>
      </c>
      <c r="B16" t="s">
        <v>35</v>
      </c>
      <c r="C16" s="5" t="s">
        <v>104</v>
      </c>
      <c r="D16" s="6">
        <v>75</v>
      </c>
      <c r="E16" s="20">
        <v>3297.5</v>
      </c>
      <c r="F16" s="20">
        <v>3633.75</v>
      </c>
      <c r="G16" s="20">
        <v>336.25</v>
      </c>
      <c r="H16" s="10">
        <v>10.197100000000001</v>
      </c>
    </row>
    <row r="17" spans="1:8" x14ac:dyDescent="0.25">
      <c r="A17">
        <f>VLOOKUP(B17,'MONTH CONVERSION'!$A$2:$B$13,2,FALSE)</f>
        <v>2</v>
      </c>
      <c r="B17" t="s">
        <v>35</v>
      </c>
      <c r="C17" s="52" t="s">
        <v>102</v>
      </c>
      <c r="D17" s="6">
        <v>41</v>
      </c>
      <c r="E17" s="20">
        <v>2284.6</v>
      </c>
      <c r="F17" s="20">
        <v>2763.4</v>
      </c>
      <c r="G17" s="20">
        <v>478.8</v>
      </c>
      <c r="H17" s="10">
        <v>20.957699999999999</v>
      </c>
    </row>
    <row r="18" spans="1:8" x14ac:dyDescent="0.25">
      <c r="A18">
        <f>VLOOKUP(B18,'MONTH CONVERSION'!$A$2:$B$13,2,FALSE)</f>
        <v>2</v>
      </c>
      <c r="B18" t="s">
        <v>35</v>
      </c>
      <c r="C18" s="5" t="s">
        <v>102</v>
      </c>
      <c r="D18" s="6">
        <v>15</v>
      </c>
      <c r="E18" s="20">
        <v>2235.75</v>
      </c>
      <c r="F18" s="20">
        <v>2327.25</v>
      </c>
      <c r="G18" s="20">
        <v>91.5</v>
      </c>
      <c r="H18" s="10">
        <v>4.0926</v>
      </c>
    </row>
    <row r="19" spans="1:8" x14ac:dyDescent="0.25">
      <c r="A19">
        <f>VLOOKUP(B19,'MONTH CONVERSION'!$A$2:$B$13,2,FALSE)</f>
        <v>2</v>
      </c>
      <c r="B19" t="s">
        <v>35</v>
      </c>
      <c r="C19" s="52" t="s">
        <v>102</v>
      </c>
      <c r="D19" s="6">
        <v>20</v>
      </c>
      <c r="E19" s="20">
        <v>1042</v>
      </c>
      <c r="F19" s="20">
        <v>877</v>
      </c>
      <c r="G19" s="20">
        <v>-165</v>
      </c>
      <c r="H19" s="10">
        <v>-15.834899999999999</v>
      </c>
    </row>
    <row r="20" spans="1:8" x14ac:dyDescent="0.25">
      <c r="A20">
        <f>VLOOKUP(B20,'MONTH CONVERSION'!$A$2:$B$13,2,FALSE)</f>
        <v>2</v>
      </c>
      <c r="B20" t="s">
        <v>35</v>
      </c>
      <c r="C20" s="52" t="s">
        <v>102</v>
      </c>
      <c r="D20" s="6">
        <v>10</v>
      </c>
      <c r="E20" s="20">
        <v>3267</v>
      </c>
      <c r="F20" s="20">
        <v>2733</v>
      </c>
      <c r="G20" s="20">
        <v>-534</v>
      </c>
      <c r="H20" s="10">
        <v>-16.345300000000002</v>
      </c>
    </row>
    <row r="21" spans="1:8" x14ac:dyDescent="0.25">
      <c r="A21">
        <f>VLOOKUP(B21,'MONTH CONVERSION'!$A$2:$B$13,2,FALSE)</f>
        <v>2</v>
      </c>
      <c r="B21" t="s">
        <v>35</v>
      </c>
      <c r="C21" s="52" t="s">
        <v>102</v>
      </c>
      <c r="D21" s="6">
        <v>30</v>
      </c>
      <c r="E21" s="20">
        <v>4666.5</v>
      </c>
      <c r="F21" s="20">
        <v>4881</v>
      </c>
      <c r="G21" s="20">
        <v>214.5</v>
      </c>
      <c r="H21" s="10">
        <v>4.5965999999999996</v>
      </c>
    </row>
    <row r="22" spans="1:8" x14ac:dyDescent="0.25">
      <c r="A22">
        <f>VLOOKUP(B22,'MONTH CONVERSION'!$A$2:$B$13,2,FALSE)</f>
        <v>3</v>
      </c>
      <c r="B22" t="s">
        <v>90</v>
      </c>
      <c r="C22" s="52" t="s">
        <v>102</v>
      </c>
      <c r="D22" s="17">
        <v>170</v>
      </c>
      <c r="E22" s="20">
        <v>6443</v>
      </c>
      <c r="F22" s="20">
        <v>4692</v>
      </c>
      <c r="G22" s="20">
        <v>-1751</v>
      </c>
      <c r="H22" s="8">
        <v>-27.1768</v>
      </c>
    </row>
    <row r="23" spans="1:8" x14ac:dyDescent="0.25">
      <c r="A23">
        <f>VLOOKUP(B23,'MONTH CONVERSION'!$A$2:$B$13,2,FALSE)</f>
        <v>3</v>
      </c>
      <c r="B23" t="s">
        <v>90</v>
      </c>
      <c r="C23" s="52" t="s">
        <v>102</v>
      </c>
      <c r="D23" s="17">
        <v>500</v>
      </c>
      <c r="E23" s="20">
        <v>4725</v>
      </c>
      <c r="F23" s="20">
        <v>4450</v>
      </c>
      <c r="G23" s="20">
        <v>-275</v>
      </c>
      <c r="H23" s="8">
        <v>-5.8201000000000001</v>
      </c>
    </row>
    <row r="24" spans="1:8" x14ac:dyDescent="0.25">
      <c r="A24">
        <f>VLOOKUP(B24,'MONTH CONVERSION'!$A$2:$B$13,2,FALSE)</f>
        <v>3</v>
      </c>
      <c r="B24" t="s">
        <v>90</v>
      </c>
      <c r="C24" s="52" t="s">
        <v>102</v>
      </c>
      <c r="D24" s="17">
        <v>24</v>
      </c>
      <c r="E24" s="20">
        <v>3229</v>
      </c>
      <c r="F24" s="20">
        <v>3236.4</v>
      </c>
      <c r="G24" s="20">
        <v>7.4</v>
      </c>
      <c r="H24" s="8">
        <v>0.22919999999999999</v>
      </c>
    </row>
    <row r="25" spans="1:8" x14ac:dyDescent="0.25">
      <c r="A25">
        <f>VLOOKUP(B25,'MONTH CONVERSION'!$A$2:$B$13,2,FALSE)</f>
        <v>3</v>
      </c>
      <c r="B25" t="s">
        <v>90</v>
      </c>
      <c r="C25" s="52" t="s">
        <v>102</v>
      </c>
      <c r="D25" s="17">
        <v>4</v>
      </c>
      <c r="E25" s="20">
        <v>2381.4</v>
      </c>
      <c r="F25" s="20">
        <v>2420</v>
      </c>
      <c r="G25" s="20">
        <v>38.6</v>
      </c>
      <c r="H25" s="8">
        <v>1.6209</v>
      </c>
    </row>
    <row r="26" spans="1:8" x14ac:dyDescent="0.25">
      <c r="A26">
        <f>VLOOKUP(B26,'MONTH CONVERSION'!$A$2:$B$13,2,FALSE)</f>
        <v>3</v>
      </c>
      <c r="B26" t="s">
        <v>90</v>
      </c>
      <c r="C26" s="52" t="s">
        <v>102</v>
      </c>
      <c r="D26" s="17">
        <v>5</v>
      </c>
      <c r="E26" s="20">
        <v>1189</v>
      </c>
      <c r="F26" s="20">
        <v>1464.75</v>
      </c>
      <c r="G26" s="20">
        <v>275.75</v>
      </c>
      <c r="H26" s="8">
        <v>23.191800000000001</v>
      </c>
    </row>
    <row r="27" spans="1:8" x14ac:dyDescent="0.25">
      <c r="A27">
        <f>VLOOKUP(B27,'MONTH CONVERSION'!$A$2:$B$13,2,FALSE)</f>
        <v>3</v>
      </c>
      <c r="B27" t="s">
        <v>90</v>
      </c>
      <c r="C27" s="52" t="s">
        <v>102</v>
      </c>
      <c r="D27" s="17">
        <v>1</v>
      </c>
      <c r="E27" s="20">
        <v>513.9</v>
      </c>
      <c r="F27" s="20">
        <v>348.5</v>
      </c>
      <c r="G27" s="20">
        <v>-165.4</v>
      </c>
      <c r="H27" s="8">
        <v>-32.185299999999998</v>
      </c>
    </row>
    <row r="28" spans="1:8" x14ac:dyDescent="0.25">
      <c r="A28">
        <f>VLOOKUP(B28,'MONTH CONVERSION'!$A$2:$B$13,2,FALSE)</f>
        <v>3</v>
      </c>
      <c r="B28" t="s">
        <v>90</v>
      </c>
      <c r="C28" t="s">
        <v>101</v>
      </c>
      <c r="D28" s="17">
        <v>110</v>
      </c>
      <c r="E28" s="20">
        <v>4822.5</v>
      </c>
      <c r="F28" s="20">
        <v>4194.3</v>
      </c>
      <c r="G28" s="20">
        <v>-628.20000000000005</v>
      </c>
      <c r="H28" s="8">
        <v>-13.026400000000001</v>
      </c>
    </row>
    <row r="29" spans="1:8" x14ac:dyDescent="0.25">
      <c r="A29">
        <f>VLOOKUP(B29,'MONTH CONVERSION'!$A$2:$B$13,2,FALSE)</f>
        <v>3</v>
      </c>
      <c r="B29" t="s">
        <v>90</v>
      </c>
      <c r="C29" t="s">
        <v>101</v>
      </c>
      <c r="D29" s="17">
        <v>51</v>
      </c>
      <c r="E29" s="20">
        <v>19477.3</v>
      </c>
      <c r="F29" s="20">
        <v>19703.75</v>
      </c>
      <c r="G29" s="20">
        <v>226.45</v>
      </c>
      <c r="H29" s="8">
        <v>1.1626000000000001</v>
      </c>
    </row>
    <row r="30" spans="1:8" x14ac:dyDescent="0.25">
      <c r="A30">
        <f>VLOOKUP(B30,'MONTH CONVERSION'!$A$2:$B$13,2,FALSE)</f>
        <v>4</v>
      </c>
      <c r="B30" t="s">
        <v>91</v>
      </c>
      <c r="C30" t="s">
        <v>101</v>
      </c>
      <c r="D30" s="25">
        <v>2</v>
      </c>
      <c r="E30" s="20">
        <v>324</v>
      </c>
      <c r="F30" s="20">
        <v>340.1</v>
      </c>
      <c r="G30" s="20">
        <v>16.100000000000001</v>
      </c>
      <c r="H30" s="25">
        <v>4.9691000000000001</v>
      </c>
    </row>
    <row r="31" spans="1:8" x14ac:dyDescent="0.25">
      <c r="A31">
        <f>VLOOKUP(B31,'MONTH CONVERSION'!$A$2:$B$13,2,FALSE)</f>
        <v>4</v>
      </c>
      <c r="B31" t="s">
        <v>91</v>
      </c>
      <c r="C31" t="s">
        <v>101</v>
      </c>
      <c r="D31" s="25">
        <v>110</v>
      </c>
      <c r="E31" s="20">
        <v>1628</v>
      </c>
      <c r="F31" s="20">
        <v>1655.5</v>
      </c>
      <c r="G31" s="20">
        <v>27.5</v>
      </c>
      <c r="H31" s="25">
        <v>1.6892</v>
      </c>
    </row>
    <row r="32" spans="1:8" x14ac:dyDescent="0.25">
      <c r="A32">
        <f>VLOOKUP(B32,'MONTH CONVERSION'!$A$2:$B$13,2,FALSE)</f>
        <v>4</v>
      </c>
      <c r="B32" t="s">
        <v>91</v>
      </c>
      <c r="C32" s="52" t="s">
        <v>102</v>
      </c>
      <c r="D32" s="25">
        <v>130</v>
      </c>
      <c r="E32" s="20">
        <v>4388</v>
      </c>
      <c r="F32" s="20">
        <v>4568</v>
      </c>
      <c r="G32" s="20">
        <v>180</v>
      </c>
      <c r="H32" s="25">
        <v>4.1021000000000001</v>
      </c>
    </row>
    <row r="33" spans="1:8" x14ac:dyDescent="0.25">
      <c r="A33">
        <f>VLOOKUP(B33,'MONTH CONVERSION'!$A$2:$B$13,2,FALSE)</f>
        <v>4</v>
      </c>
      <c r="B33" t="s">
        <v>91</v>
      </c>
      <c r="C33" s="24" t="s">
        <v>102</v>
      </c>
      <c r="D33" s="25">
        <v>100</v>
      </c>
      <c r="E33" s="20">
        <v>886</v>
      </c>
      <c r="F33" s="20">
        <v>915</v>
      </c>
      <c r="G33" s="20">
        <v>29</v>
      </c>
      <c r="H33" s="25">
        <v>3.2730999999999999</v>
      </c>
    </row>
    <row r="34" spans="1:8" x14ac:dyDescent="0.25">
      <c r="A34">
        <f>VLOOKUP(B34,'MONTH CONVERSION'!$A$2:$B$13,2,FALSE)</f>
        <v>4</v>
      </c>
      <c r="B34" t="s">
        <v>91</v>
      </c>
      <c r="C34" s="24" t="s">
        <v>104</v>
      </c>
      <c r="D34" s="25">
        <v>55</v>
      </c>
      <c r="E34" s="20">
        <v>2601.5</v>
      </c>
      <c r="F34" s="20">
        <v>2585</v>
      </c>
      <c r="G34" s="20">
        <v>-16.5</v>
      </c>
      <c r="H34" s="25">
        <v>-0.63419999999999999</v>
      </c>
    </row>
    <row r="35" spans="1:8" x14ac:dyDescent="0.25">
      <c r="A35">
        <f>VLOOKUP(B35,'MONTH CONVERSION'!$A$2:$B$13,2,FALSE)</f>
        <v>4</v>
      </c>
      <c r="B35" t="s">
        <v>91</v>
      </c>
      <c r="C35" s="52" t="s">
        <v>104</v>
      </c>
      <c r="D35" s="25">
        <v>120</v>
      </c>
      <c r="E35" s="20">
        <v>12916.5</v>
      </c>
      <c r="F35" s="20">
        <v>12942</v>
      </c>
      <c r="G35" s="20">
        <v>25.5</v>
      </c>
      <c r="H35" s="25">
        <v>0.19739999999999999</v>
      </c>
    </row>
    <row r="36" spans="1:8" x14ac:dyDescent="0.25">
      <c r="A36">
        <f>VLOOKUP(B36,'MONTH CONVERSION'!$A$2:$B$13,2,FALSE)</f>
        <v>4</v>
      </c>
      <c r="B36" t="s">
        <v>91</v>
      </c>
      <c r="C36" s="52" t="s">
        <v>104</v>
      </c>
      <c r="D36" s="25">
        <v>5</v>
      </c>
      <c r="E36" s="20">
        <v>1290</v>
      </c>
      <c r="F36" s="20">
        <v>1306</v>
      </c>
      <c r="G36" s="20">
        <v>16</v>
      </c>
      <c r="H36" s="25">
        <v>1.2403</v>
      </c>
    </row>
    <row r="37" spans="1:8" x14ac:dyDescent="0.25">
      <c r="A37">
        <f>VLOOKUP(B37,'MONTH CONVERSION'!$A$2:$B$13,2,FALSE)</f>
        <v>4</v>
      </c>
      <c r="B37" t="s">
        <v>91</v>
      </c>
      <c r="C37" s="52" t="s">
        <v>104</v>
      </c>
      <c r="D37" s="25">
        <v>10</v>
      </c>
      <c r="E37" s="20">
        <v>3114</v>
      </c>
      <c r="F37" s="20">
        <v>4050</v>
      </c>
      <c r="G37" s="20">
        <v>936</v>
      </c>
      <c r="H37" s="25">
        <v>30.0578</v>
      </c>
    </row>
    <row r="38" spans="1:8" x14ac:dyDescent="0.25">
      <c r="A38">
        <f>VLOOKUP(B38,'MONTH CONVERSION'!$A$2:$B$13,2,FALSE)</f>
        <v>4</v>
      </c>
      <c r="B38" t="s">
        <v>91</v>
      </c>
      <c r="C38" s="24" t="s">
        <v>102</v>
      </c>
      <c r="D38" s="25">
        <v>40</v>
      </c>
      <c r="E38" s="20">
        <v>6229.6</v>
      </c>
      <c r="F38" s="20">
        <v>5822</v>
      </c>
      <c r="G38" s="20">
        <v>-407.6</v>
      </c>
      <c r="H38" s="25">
        <v>-6.5430000000000001</v>
      </c>
    </row>
    <row r="39" spans="1:8" x14ac:dyDescent="0.25">
      <c r="A39">
        <f>VLOOKUP(B39,'MONTH CONVERSION'!$A$2:$B$13,2,FALSE)</f>
        <v>4</v>
      </c>
      <c r="B39" t="s">
        <v>91</v>
      </c>
      <c r="C39" s="52" t="s">
        <v>102</v>
      </c>
      <c r="D39" s="25">
        <v>30</v>
      </c>
      <c r="E39" s="20">
        <v>4051.5</v>
      </c>
      <c r="F39" s="20">
        <v>4140</v>
      </c>
      <c r="G39" s="20">
        <v>88.5</v>
      </c>
      <c r="H39" s="25">
        <v>2.1844000000000001</v>
      </c>
    </row>
    <row r="40" spans="1:8" x14ac:dyDescent="0.25">
      <c r="A40">
        <f>VLOOKUP(B40,'MONTH CONVERSION'!$A$2:$B$13,2,FALSE)</f>
        <v>4</v>
      </c>
      <c r="B40" t="s">
        <v>91</v>
      </c>
      <c r="C40" s="52" t="s">
        <v>102</v>
      </c>
      <c r="D40" s="25">
        <v>90</v>
      </c>
      <c r="E40" s="20">
        <v>8325</v>
      </c>
      <c r="F40" s="20">
        <v>8460</v>
      </c>
      <c r="G40" s="20">
        <v>135</v>
      </c>
      <c r="H40" s="25">
        <v>1.6215999999999999</v>
      </c>
    </row>
    <row r="41" spans="1:8" x14ac:dyDescent="0.25">
      <c r="A41">
        <f>VLOOKUP(B41,'MONTH CONVERSION'!$A$2:$B$13,2,FALSE)</f>
        <v>4</v>
      </c>
      <c r="B41" t="s">
        <v>91</v>
      </c>
      <c r="C41" s="52" t="s">
        <v>102</v>
      </c>
      <c r="D41" s="25">
        <v>30</v>
      </c>
      <c r="E41" s="20">
        <v>8757</v>
      </c>
      <c r="F41" s="20">
        <v>9580.5</v>
      </c>
      <c r="G41" s="20">
        <v>823.5</v>
      </c>
      <c r="H41" s="25">
        <v>9.4039000000000001</v>
      </c>
    </row>
    <row r="42" spans="1:8" x14ac:dyDescent="0.25">
      <c r="A42">
        <f>VLOOKUP(B42,'MONTH CONVERSION'!$A$2:$B$13,2,FALSE)</f>
        <v>4</v>
      </c>
      <c r="B42" t="s">
        <v>91</v>
      </c>
      <c r="C42" s="52" t="s">
        <v>102</v>
      </c>
      <c r="D42" s="25">
        <v>75</v>
      </c>
      <c r="E42" s="20">
        <v>2111.25</v>
      </c>
      <c r="F42" s="20">
        <v>1575.75</v>
      </c>
      <c r="G42" s="20">
        <v>-535.5</v>
      </c>
      <c r="H42" s="25">
        <v>-25.364100000000001</v>
      </c>
    </row>
    <row r="43" spans="1:8" x14ac:dyDescent="0.25">
      <c r="A43">
        <f>VLOOKUP(B43,'MONTH CONVERSION'!$A$2:$B$13,2,FALSE)</f>
        <v>4</v>
      </c>
      <c r="B43" t="s">
        <v>91</v>
      </c>
      <c r="C43" s="52" t="s">
        <v>101</v>
      </c>
      <c r="D43" s="25">
        <v>100</v>
      </c>
      <c r="E43" s="20">
        <v>7110</v>
      </c>
      <c r="F43" s="20">
        <v>7210</v>
      </c>
      <c r="G43" s="20">
        <v>100</v>
      </c>
      <c r="H43" s="25">
        <v>1.4065000000000001</v>
      </c>
    </row>
    <row r="44" spans="1:8" x14ac:dyDescent="0.25">
      <c r="A44">
        <f>VLOOKUP(B44,'MONTH CONVERSION'!$A$2:$B$13,2,FALSE)</f>
        <v>4</v>
      </c>
      <c r="B44" t="s">
        <v>91</v>
      </c>
      <c r="C44" s="52" t="s">
        <v>101</v>
      </c>
      <c r="D44" s="25">
        <v>1</v>
      </c>
      <c r="E44" s="20">
        <v>6200</v>
      </c>
      <c r="F44" s="20">
        <v>7103.15</v>
      </c>
      <c r="G44" s="20">
        <v>903.15</v>
      </c>
      <c r="H44" s="25">
        <v>14.5669</v>
      </c>
    </row>
    <row r="45" spans="1:8" x14ac:dyDescent="0.25">
      <c r="A45">
        <f>VLOOKUP(B45,'MONTH CONVERSION'!$A$2:$B$13,2,FALSE)</f>
        <v>4</v>
      </c>
      <c r="B45" t="s">
        <v>91</v>
      </c>
      <c r="C45" s="52" t="s">
        <v>101</v>
      </c>
      <c r="D45" s="25">
        <v>100</v>
      </c>
      <c r="E45" s="20">
        <v>3035</v>
      </c>
      <c r="F45" s="20">
        <v>3135</v>
      </c>
      <c r="G45" s="20">
        <v>100</v>
      </c>
      <c r="H45" s="25">
        <v>3.2949000000000002</v>
      </c>
    </row>
    <row r="46" spans="1:8" x14ac:dyDescent="0.25">
      <c r="A46">
        <f>VLOOKUP(B46,'MONTH CONVERSION'!$A$2:$B$13,2,FALSE)</f>
        <v>4</v>
      </c>
      <c r="B46" t="s">
        <v>91</v>
      </c>
      <c r="C46" s="52" t="s">
        <v>101</v>
      </c>
      <c r="D46" s="25">
        <v>300</v>
      </c>
      <c r="E46" s="20">
        <v>8563</v>
      </c>
      <c r="F46" s="20">
        <v>8957.5</v>
      </c>
      <c r="G46" s="20">
        <v>394.5</v>
      </c>
      <c r="H46" s="25">
        <v>4.6070000000000002</v>
      </c>
    </row>
    <row r="47" spans="1:8" x14ac:dyDescent="0.25">
      <c r="A47">
        <f>VLOOKUP(B47,'MONTH CONVERSION'!$A$2:$B$13,2,FALSE)</f>
        <v>4</v>
      </c>
      <c r="B47" t="s">
        <v>91</v>
      </c>
      <c r="C47" s="52" t="s">
        <v>101</v>
      </c>
      <c r="D47" s="25">
        <v>50</v>
      </c>
      <c r="E47" s="20">
        <v>3330</v>
      </c>
      <c r="F47" s="20">
        <v>3114.5</v>
      </c>
      <c r="G47" s="20">
        <v>-215.5</v>
      </c>
      <c r="H47" s="25">
        <v>-6.4714999999999998</v>
      </c>
    </row>
    <row r="48" spans="1:8" x14ac:dyDescent="0.25">
      <c r="A48">
        <f>VLOOKUP(B48,'MONTH CONVERSION'!$A$2:$B$13,2,FALSE)</f>
        <v>4</v>
      </c>
      <c r="B48" t="s">
        <v>91</v>
      </c>
      <c r="C48" s="52" t="s">
        <v>101</v>
      </c>
      <c r="D48" s="25">
        <v>9</v>
      </c>
      <c r="E48" s="20">
        <v>1339</v>
      </c>
      <c r="F48" s="20">
        <v>1362.6</v>
      </c>
      <c r="G48" s="20">
        <v>23.6</v>
      </c>
      <c r="H48" s="25">
        <v>1.7625</v>
      </c>
    </row>
    <row r="49" spans="1:8" x14ac:dyDescent="0.25">
      <c r="A49">
        <f>VLOOKUP(B49,'MONTH CONVERSION'!$A$2:$B$13,2,FALSE)</f>
        <v>4</v>
      </c>
      <c r="B49" t="s">
        <v>91</v>
      </c>
      <c r="C49" s="24" t="s">
        <v>101</v>
      </c>
      <c r="D49" s="25">
        <v>250</v>
      </c>
      <c r="E49" s="20">
        <v>6075</v>
      </c>
      <c r="F49" s="20">
        <v>6157.5</v>
      </c>
      <c r="G49" s="20">
        <v>82.5</v>
      </c>
      <c r="H49" s="25">
        <v>1.3580000000000001</v>
      </c>
    </row>
    <row r="50" spans="1:8" x14ac:dyDescent="0.25">
      <c r="A50">
        <f>VLOOKUP(B50,'MONTH CONVERSION'!$A$2:$B$13,2,FALSE)</f>
        <v>4</v>
      </c>
      <c r="B50" t="s">
        <v>91</v>
      </c>
      <c r="C50" t="s">
        <v>103</v>
      </c>
      <c r="D50" s="25">
        <v>370</v>
      </c>
      <c r="E50" s="20">
        <v>40327.96</v>
      </c>
      <c r="F50" s="20">
        <v>40403.5</v>
      </c>
      <c r="G50" s="20">
        <v>75.540000000000006</v>
      </c>
      <c r="H50" s="25">
        <v>0.18729999999999999</v>
      </c>
    </row>
    <row r="51" spans="1:8" x14ac:dyDescent="0.25">
      <c r="A51">
        <f>VLOOKUP(B51,'MONTH CONVERSION'!$A$2:$B$13,2,FALSE)</f>
        <v>5</v>
      </c>
      <c r="B51" t="s">
        <v>77</v>
      </c>
      <c r="C51" t="s">
        <v>103</v>
      </c>
      <c r="D51" s="29">
        <v>89</v>
      </c>
      <c r="E51" s="20">
        <v>16119.95</v>
      </c>
      <c r="F51" s="20">
        <v>16866</v>
      </c>
      <c r="G51" s="20">
        <v>746.05</v>
      </c>
      <c r="H51" s="29">
        <v>4.6280999999999999</v>
      </c>
    </row>
    <row r="52" spans="1:8" x14ac:dyDescent="0.25">
      <c r="A52">
        <f>VLOOKUP(B52,'MONTH CONVERSION'!$A$2:$B$13,2,FALSE)</f>
        <v>5</v>
      </c>
      <c r="B52" t="s">
        <v>77</v>
      </c>
      <c r="C52" t="s">
        <v>103</v>
      </c>
      <c r="D52" s="29">
        <v>110</v>
      </c>
      <c r="E52" s="20">
        <v>14139</v>
      </c>
      <c r="F52" s="20">
        <v>14234</v>
      </c>
      <c r="G52" s="20">
        <v>95</v>
      </c>
      <c r="H52" s="29">
        <v>0.67190000000000005</v>
      </c>
    </row>
    <row r="53" spans="1:8" x14ac:dyDescent="0.25">
      <c r="A53">
        <f>VLOOKUP(B53,'MONTH CONVERSION'!$A$2:$B$13,2,FALSE)</f>
        <v>5</v>
      </c>
      <c r="B53" t="s">
        <v>77</v>
      </c>
      <c r="C53" t="s">
        <v>103</v>
      </c>
      <c r="D53" s="29">
        <v>90</v>
      </c>
      <c r="E53" s="20">
        <v>4347</v>
      </c>
      <c r="F53" s="20">
        <v>4423.5</v>
      </c>
      <c r="G53" s="20">
        <v>76.5</v>
      </c>
      <c r="H53" s="29">
        <v>1.7598</v>
      </c>
    </row>
    <row r="54" spans="1:8" x14ac:dyDescent="0.25">
      <c r="A54">
        <f>VLOOKUP(B54,'MONTH CONVERSION'!$A$2:$B$13,2,FALSE)</f>
        <v>5</v>
      </c>
      <c r="B54" t="s">
        <v>77</v>
      </c>
      <c r="C54" t="s">
        <v>103</v>
      </c>
      <c r="D54" s="29">
        <v>10</v>
      </c>
      <c r="E54" s="20">
        <v>2482</v>
      </c>
      <c r="F54" s="20">
        <v>2731</v>
      </c>
      <c r="G54" s="20">
        <v>249</v>
      </c>
      <c r="H54" s="29">
        <v>10.0322</v>
      </c>
    </row>
    <row r="55" spans="1:8" x14ac:dyDescent="0.25">
      <c r="A55">
        <f>VLOOKUP(B55,'MONTH CONVERSION'!$A$2:$B$13,2,FALSE)</f>
        <v>5</v>
      </c>
      <c r="B55" t="s">
        <v>77</v>
      </c>
      <c r="C55" t="s">
        <v>103</v>
      </c>
      <c r="D55" s="29">
        <v>100</v>
      </c>
      <c r="E55" s="20">
        <v>18045</v>
      </c>
      <c r="F55" s="20">
        <v>18300</v>
      </c>
      <c r="G55" s="20">
        <v>255</v>
      </c>
      <c r="H55" s="29">
        <v>1.4131</v>
      </c>
    </row>
    <row r="56" spans="1:8" x14ac:dyDescent="0.25">
      <c r="A56">
        <f>VLOOKUP(B56,'MONTH CONVERSION'!$A$2:$B$13,2,FALSE)</f>
        <v>5</v>
      </c>
      <c r="B56" t="s">
        <v>77</v>
      </c>
      <c r="C56" t="s">
        <v>103</v>
      </c>
      <c r="D56" s="29">
        <v>100</v>
      </c>
      <c r="E56" s="20">
        <v>1785</v>
      </c>
      <c r="F56" s="20">
        <v>1915</v>
      </c>
      <c r="G56" s="20">
        <v>130</v>
      </c>
      <c r="H56" s="29">
        <v>7.2828999999999997</v>
      </c>
    </row>
    <row r="57" spans="1:8" x14ac:dyDescent="0.25">
      <c r="A57">
        <f>VLOOKUP(B57,'MONTH CONVERSION'!$A$2:$B$13,2,FALSE)</f>
        <v>5</v>
      </c>
      <c r="B57" t="s">
        <v>77</v>
      </c>
      <c r="C57" t="s">
        <v>103</v>
      </c>
      <c r="D57" s="29">
        <v>5</v>
      </c>
      <c r="E57" s="20">
        <v>2714.05</v>
      </c>
      <c r="F57" s="20">
        <v>3600.25</v>
      </c>
      <c r="G57" s="20">
        <v>886.2</v>
      </c>
      <c r="H57" s="29">
        <v>32.652299999999997</v>
      </c>
    </row>
    <row r="58" spans="1:8" x14ac:dyDescent="0.25">
      <c r="A58">
        <f>VLOOKUP(B58,'MONTH CONVERSION'!$A$2:$B$13,2,FALSE)</f>
        <v>5</v>
      </c>
      <c r="B58" t="s">
        <v>77</v>
      </c>
      <c r="C58" t="s">
        <v>103</v>
      </c>
      <c r="D58" s="29">
        <v>50</v>
      </c>
      <c r="E58" s="20">
        <v>1027.5</v>
      </c>
      <c r="F58" s="20">
        <v>1047</v>
      </c>
      <c r="G58" s="20">
        <v>19.5</v>
      </c>
      <c r="H58" s="29">
        <v>1.8977999999999999</v>
      </c>
    </row>
    <row r="59" spans="1:8" x14ac:dyDescent="0.25">
      <c r="A59">
        <f>VLOOKUP(B59,'MONTH CONVERSION'!$A$2:$B$13,2,FALSE)</f>
        <v>5</v>
      </c>
      <c r="B59" t="s">
        <v>77</v>
      </c>
      <c r="C59" s="28" t="s">
        <v>103</v>
      </c>
      <c r="D59" s="29">
        <v>50</v>
      </c>
      <c r="E59" s="20">
        <v>8982.7999999999993</v>
      </c>
      <c r="F59" s="20">
        <v>10087</v>
      </c>
      <c r="G59" s="20">
        <v>1104.2</v>
      </c>
      <c r="H59" s="29">
        <v>12.292400000000001</v>
      </c>
    </row>
    <row r="60" spans="1:8" x14ac:dyDescent="0.25">
      <c r="A60">
        <f>VLOOKUP(B60,'MONTH CONVERSION'!$A$2:$B$13,2,FALSE)</f>
        <v>5</v>
      </c>
      <c r="B60" t="s">
        <v>77</v>
      </c>
      <c r="C60" s="28" t="s">
        <v>104</v>
      </c>
      <c r="D60" s="29">
        <v>2</v>
      </c>
      <c r="E60" s="20">
        <v>14599.96</v>
      </c>
      <c r="F60" s="20">
        <v>14729</v>
      </c>
      <c r="G60" s="20">
        <v>129.04</v>
      </c>
      <c r="H60" s="29">
        <v>0.88380000000000003</v>
      </c>
    </row>
    <row r="61" spans="1:8" x14ac:dyDescent="0.25">
      <c r="A61">
        <f>VLOOKUP(B61,'MONTH CONVERSION'!$A$2:$B$13,2,FALSE)</f>
        <v>5</v>
      </c>
      <c r="B61" t="s">
        <v>77</v>
      </c>
      <c r="C61" s="52" t="s">
        <v>104</v>
      </c>
      <c r="D61" s="29">
        <v>10</v>
      </c>
      <c r="E61" s="20">
        <v>3811.5</v>
      </c>
      <c r="F61" s="20">
        <v>4446.5</v>
      </c>
      <c r="G61" s="20">
        <v>635</v>
      </c>
      <c r="H61" s="29">
        <v>16.6601</v>
      </c>
    </row>
    <row r="62" spans="1:8" x14ac:dyDescent="0.25">
      <c r="A62">
        <f>VLOOKUP(B62,'MONTH CONVERSION'!$A$2:$B$13,2,FALSE)</f>
        <v>6</v>
      </c>
      <c r="B62" t="s">
        <v>96</v>
      </c>
      <c r="C62" s="52" t="s">
        <v>104</v>
      </c>
      <c r="D62" s="33">
        <v>90</v>
      </c>
      <c r="E62" s="20">
        <v>2966</v>
      </c>
      <c r="F62" s="20">
        <v>3112.5</v>
      </c>
      <c r="G62" s="20">
        <v>146.5</v>
      </c>
      <c r="H62" s="33">
        <v>4.9393000000000002</v>
      </c>
    </row>
    <row r="63" spans="1:8" x14ac:dyDescent="0.25">
      <c r="A63">
        <f>VLOOKUP(B63,'MONTH CONVERSION'!$A$2:$B$13,2,FALSE)</f>
        <v>6</v>
      </c>
      <c r="B63" t="s">
        <v>96</v>
      </c>
      <c r="C63" s="52" t="s">
        <v>104</v>
      </c>
      <c r="D63" s="33">
        <v>80</v>
      </c>
      <c r="E63" s="20">
        <v>19069.5</v>
      </c>
      <c r="F63" s="20">
        <v>19229.599999999999</v>
      </c>
      <c r="G63" s="20">
        <v>160.1</v>
      </c>
      <c r="H63" s="33">
        <v>0.83960000000000001</v>
      </c>
    </row>
    <row r="64" spans="1:8" x14ac:dyDescent="0.25">
      <c r="A64">
        <f>VLOOKUP(B64,'MONTH CONVERSION'!$A$2:$B$13,2,FALSE)</f>
        <v>6</v>
      </c>
      <c r="B64" t="s">
        <v>96</v>
      </c>
      <c r="C64" s="52" t="s">
        <v>104</v>
      </c>
      <c r="D64" s="33">
        <v>21</v>
      </c>
      <c r="E64" s="20">
        <v>3837.2</v>
      </c>
      <c r="F64" s="20">
        <v>4005.75</v>
      </c>
      <c r="G64" s="20">
        <v>168.55</v>
      </c>
      <c r="H64" s="33">
        <v>4.3925000000000001</v>
      </c>
    </row>
    <row r="65" spans="1:8" x14ac:dyDescent="0.25">
      <c r="A65">
        <f>VLOOKUP(B65,'MONTH CONVERSION'!$A$2:$B$13,2,FALSE)</f>
        <v>6</v>
      </c>
      <c r="B65" t="s">
        <v>96</v>
      </c>
      <c r="C65" s="52" t="s">
        <v>104</v>
      </c>
      <c r="D65" s="33">
        <v>80</v>
      </c>
      <c r="E65" s="20">
        <v>9974.5</v>
      </c>
      <c r="F65" s="20">
        <v>10452</v>
      </c>
      <c r="G65" s="20">
        <v>477.5</v>
      </c>
      <c r="H65" s="33">
        <v>4.7872000000000003</v>
      </c>
    </row>
    <row r="66" spans="1:8" x14ac:dyDescent="0.25">
      <c r="A66">
        <f>VLOOKUP(B66,'MONTH CONVERSION'!$A$2:$B$13,2,FALSE)</f>
        <v>6</v>
      </c>
      <c r="B66" t="s">
        <v>96</v>
      </c>
      <c r="C66" s="52" t="s">
        <v>104</v>
      </c>
      <c r="D66" s="33">
        <v>185</v>
      </c>
      <c r="E66" s="20">
        <v>22518.3</v>
      </c>
      <c r="F66" s="20">
        <v>22907.5</v>
      </c>
      <c r="G66" s="20">
        <v>389.2</v>
      </c>
      <c r="H66" s="33">
        <v>1.7283999999999999</v>
      </c>
    </row>
    <row r="67" spans="1:8" x14ac:dyDescent="0.25">
      <c r="A67">
        <f>VLOOKUP(B67,'MONTH CONVERSION'!$A$2:$B$13,2,FALSE)</f>
        <v>6</v>
      </c>
      <c r="B67" t="s">
        <v>96</v>
      </c>
      <c r="C67" s="52" t="s">
        <v>103</v>
      </c>
      <c r="D67" s="33">
        <v>80</v>
      </c>
      <c r="E67" s="20">
        <v>11600</v>
      </c>
      <c r="F67" s="20">
        <v>12648</v>
      </c>
      <c r="G67" s="20">
        <v>1048</v>
      </c>
      <c r="H67" s="33">
        <v>9.0344999999999995</v>
      </c>
    </row>
    <row r="68" spans="1:8" x14ac:dyDescent="0.25">
      <c r="A68">
        <f>VLOOKUP(B68,'MONTH CONVERSION'!$A$2:$B$13,2,FALSE)</f>
        <v>6</v>
      </c>
      <c r="B68" t="s">
        <v>96</v>
      </c>
      <c r="C68" s="52" t="s">
        <v>103</v>
      </c>
      <c r="D68" s="33">
        <v>85</v>
      </c>
      <c r="E68" s="20">
        <v>17715.25</v>
      </c>
      <c r="F68" s="20">
        <v>17922.25</v>
      </c>
      <c r="G68" s="20">
        <v>207</v>
      </c>
      <c r="H68" s="33">
        <v>1.1685000000000001</v>
      </c>
    </row>
    <row r="69" spans="1:8" x14ac:dyDescent="0.25">
      <c r="A69">
        <f>VLOOKUP(B69,'MONTH CONVERSION'!$A$2:$B$13,2,FALSE)</f>
        <v>6</v>
      </c>
      <c r="B69" t="s">
        <v>96</v>
      </c>
      <c r="C69" s="52" t="s">
        <v>103</v>
      </c>
      <c r="D69" s="33">
        <v>32</v>
      </c>
      <c r="E69" s="20">
        <v>43825</v>
      </c>
      <c r="F69" s="20">
        <v>44049.5</v>
      </c>
      <c r="G69" s="20">
        <v>224.5</v>
      </c>
      <c r="H69" s="33">
        <v>0.51229999999999998</v>
      </c>
    </row>
    <row r="70" spans="1:8" x14ac:dyDescent="0.25">
      <c r="A70">
        <f>VLOOKUP(B70,'MONTH CONVERSION'!$A$2:$B$13,2,FALSE)</f>
        <v>6</v>
      </c>
      <c r="B70" t="s">
        <v>96</v>
      </c>
      <c r="C70" s="52" t="s">
        <v>103</v>
      </c>
      <c r="D70" s="33">
        <v>1267</v>
      </c>
      <c r="E70" s="20">
        <v>18744.54</v>
      </c>
      <c r="F70" s="20">
        <v>19647.689999999999</v>
      </c>
      <c r="G70" s="20">
        <v>903.15</v>
      </c>
      <c r="H70" s="33">
        <v>4.8182</v>
      </c>
    </row>
    <row r="71" spans="1:8" x14ac:dyDescent="0.25">
      <c r="A71">
        <f>VLOOKUP(B71,'MONTH CONVERSION'!$A$2:$B$13,2,FALSE)</f>
        <v>6</v>
      </c>
      <c r="B71" t="s">
        <v>96</v>
      </c>
      <c r="C71" s="52" t="s">
        <v>103</v>
      </c>
      <c r="D71" s="33">
        <v>11</v>
      </c>
      <c r="E71" s="20">
        <v>15224</v>
      </c>
      <c r="F71" s="20">
        <v>15382.85</v>
      </c>
      <c r="G71" s="20">
        <v>158.85</v>
      </c>
      <c r="H71" s="33">
        <v>1.0434000000000001</v>
      </c>
    </row>
    <row r="72" spans="1:8" x14ac:dyDescent="0.25">
      <c r="A72">
        <f>VLOOKUP(B72,'MONTH CONVERSION'!$A$2:$B$13,2,FALSE)</f>
        <v>6</v>
      </c>
      <c r="B72" t="s">
        <v>96</v>
      </c>
      <c r="C72" s="52" t="s">
        <v>103</v>
      </c>
      <c r="D72" s="33">
        <v>10</v>
      </c>
      <c r="E72" s="20">
        <v>706.5</v>
      </c>
      <c r="F72" s="20">
        <v>725</v>
      </c>
      <c r="G72" s="20">
        <v>18.5</v>
      </c>
      <c r="H72" s="33">
        <v>2.6185</v>
      </c>
    </row>
    <row r="73" spans="1:8" x14ac:dyDescent="0.25">
      <c r="A73">
        <f>VLOOKUP(B73,'MONTH CONVERSION'!$A$2:$B$13,2,FALSE)</f>
        <v>6</v>
      </c>
      <c r="B73" t="s">
        <v>96</v>
      </c>
      <c r="C73" s="32" t="s">
        <v>103</v>
      </c>
      <c r="D73" s="33">
        <v>55</v>
      </c>
      <c r="E73" s="20">
        <v>9113.0499999999993</v>
      </c>
      <c r="F73" s="20">
        <v>9765</v>
      </c>
      <c r="G73" s="20">
        <v>651.95000000000005</v>
      </c>
      <c r="H73" s="33">
        <v>7.1539999999999999</v>
      </c>
    </row>
    <row r="74" spans="1:8" x14ac:dyDescent="0.25">
      <c r="A74">
        <f>VLOOKUP(B74,'MONTH CONVERSION'!$A$2:$B$13,2,FALSE)</f>
        <v>6</v>
      </c>
      <c r="B74" t="s">
        <v>96</v>
      </c>
      <c r="C74" s="52" t="s">
        <v>101</v>
      </c>
      <c r="D74" s="33">
        <v>195</v>
      </c>
      <c r="E74" s="20">
        <v>2253.3000000000002</v>
      </c>
      <c r="F74" s="20">
        <v>2262</v>
      </c>
      <c r="G74" s="20">
        <v>8.6999999999999993</v>
      </c>
      <c r="H74" s="33">
        <v>0.3861</v>
      </c>
    </row>
    <row r="75" spans="1:8" x14ac:dyDescent="0.25">
      <c r="A75">
        <f>VLOOKUP(B75,'MONTH CONVERSION'!$A$2:$B$13,2,FALSE)</f>
        <v>6</v>
      </c>
      <c r="B75" t="s">
        <v>96</v>
      </c>
      <c r="C75" s="32" t="s">
        <v>101</v>
      </c>
      <c r="D75" s="33">
        <v>508</v>
      </c>
      <c r="E75" s="20">
        <v>9079.7999999999993</v>
      </c>
      <c r="F75" s="20">
        <v>9799.32</v>
      </c>
      <c r="G75" s="20">
        <v>719.52</v>
      </c>
      <c r="H75" s="33">
        <v>7.9244000000000003</v>
      </c>
    </row>
    <row r="76" spans="1:8" x14ac:dyDescent="0.25">
      <c r="A76">
        <f>VLOOKUP(B76,'MONTH CONVERSION'!$A$2:$B$13,2,FALSE)</f>
        <v>6</v>
      </c>
      <c r="B76" t="s">
        <v>96</v>
      </c>
      <c r="C76" s="52" t="s">
        <v>101</v>
      </c>
      <c r="D76" s="33">
        <v>300</v>
      </c>
      <c r="E76" s="20">
        <v>13050</v>
      </c>
      <c r="F76" s="20">
        <v>13200</v>
      </c>
      <c r="G76" s="20">
        <v>150</v>
      </c>
      <c r="H76" s="33">
        <v>1.1494</v>
      </c>
    </row>
    <row r="77" spans="1:8" x14ac:dyDescent="0.25">
      <c r="A77">
        <f>VLOOKUP(B77,'MONTH CONVERSION'!$A$2:$B$13,2,FALSE)</f>
        <v>6</v>
      </c>
      <c r="B77" t="s">
        <v>96</v>
      </c>
      <c r="C77" s="52" t="s">
        <v>101</v>
      </c>
      <c r="D77" s="33">
        <v>108</v>
      </c>
      <c r="E77" s="20">
        <v>2100.6</v>
      </c>
      <c r="F77" s="20">
        <v>2160</v>
      </c>
      <c r="G77" s="20">
        <v>59.4</v>
      </c>
      <c r="H77" s="33">
        <v>2.8277999999999999</v>
      </c>
    </row>
    <row r="78" spans="1:8" x14ac:dyDescent="0.25">
      <c r="A78">
        <f>VLOOKUP(B78,'MONTH CONVERSION'!$A$2:$B$13,2,FALSE)</f>
        <v>6</v>
      </c>
      <c r="B78" t="s">
        <v>96</v>
      </c>
      <c r="C78" s="52" t="s">
        <v>101</v>
      </c>
      <c r="D78" s="33">
        <v>36</v>
      </c>
      <c r="E78" s="20">
        <v>7216.6</v>
      </c>
      <c r="F78" s="20">
        <v>7378.2</v>
      </c>
      <c r="G78" s="20">
        <v>161.6</v>
      </c>
      <c r="H78" s="33">
        <v>2.2393000000000001</v>
      </c>
    </row>
    <row r="79" spans="1:8" x14ac:dyDescent="0.25">
      <c r="A79">
        <f>VLOOKUP(B79,'MONTH CONVERSION'!$A$2:$B$13,2,FALSE)</f>
        <v>6</v>
      </c>
      <c r="B79" t="s">
        <v>96</v>
      </c>
      <c r="C79" s="52" t="s">
        <v>101</v>
      </c>
      <c r="D79" s="33">
        <v>103</v>
      </c>
      <c r="E79" s="20">
        <v>33131.15</v>
      </c>
      <c r="F79" s="20">
        <v>34031.5</v>
      </c>
      <c r="G79" s="20">
        <v>900.35</v>
      </c>
      <c r="H79" s="33">
        <v>2.7174999999999998</v>
      </c>
    </row>
    <row r="80" spans="1:8" x14ac:dyDescent="0.25">
      <c r="A80">
        <f>VLOOKUP(B80,'MONTH CONVERSION'!$A$2:$B$13,2,FALSE)</f>
        <v>6</v>
      </c>
      <c r="B80" t="s">
        <v>96</v>
      </c>
      <c r="C80" s="52" t="s">
        <v>101</v>
      </c>
      <c r="D80" s="33">
        <v>23</v>
      </c>
      <c r="E80" s="20">
        <v>5324.5</v>
      </c>
      <c r="F80" s="20">
        <v>5740.34</v>
      </c>
      <c r="G80" s="20">
        <v>415.84</v>
      </c>
      <c r="H80" s="33">
        <v>7.8098999999999998</v>
      </c>
    </row>
    <row r="81" spans="1:8" x14ac:dyDescent="0.25">
      <c r="A81">
        <f>VLOOKUP(B81,'MONTH CONVERSION'!$A$2:$B$13,2,FALSE)</f>
        <v>6</v>
      </c>
      <c r="B81" t="s">
        <v>96</v>
      </c>
      <c r="C81" s="52" t="s">
        <v>101</v>
      </c>
      <c r="D81" s="33">
        <v>1</v>
      </c>
      <c r="E81" s="20">
        <v>586.9</v>
      </c>
      <c r="F81" s="20">
        <v>605.29999999999995</v>
      </c>
      <c r="G81" s="20">
        <v>18.399999999999999</v>
      </c>
      <c r="H81" s="33">
        <v>3.1351</v>
      </c>
    </row>
    <row r="82" spans="1:8" x14ac:dyDescent="0.25">
      <c r="A82">
        <f>VLOOKUP(B82,'MONTH CONVERSION'!$A$2:$B$13,2,FALSE)</f>
        <v>6</v>
      </c>
      <c r="B82" t="s">
        <v>96</v>
      </c>
      <c r="C82" s="32" t="s">
        <v>102</v>
      </c>
      <c r="D82" s="33">
        <v>48</v>
      </c>
      <c r="E82" s="20">
        <v>5260.8</v>
      </c>
      <c r="F82" s="20">
        <v>5714.4</v>
      </c>
      <c r="G82" s="20">
        <v>453.6</v>
      </c>
      <c r="H82" s="33">
        <v>8.6222999999999992</v>
      </c>
    </row>
    <row r="83" spans="1:8" x14ac:dyDescent="0.25">
      <c r="A83">
        <f>VLOOKUP(B83,'MONTH CONVERSION'!$A$2:$B$13,2,FALSE)</f>
        <v>6</v>
      </c>
      <c r="B83" t="s">
        <v>96</v>
      </c>
      <c r="C83" s="52" t="s">
        <v>102</v>
      </c>
      <c r="D83" s="33">
        <v>500</v>
      </c>
      <c r="E83" s="20">
        <v>28300</v>
      </c>
      <c r="F83" s="20">
        <v>30175</v>
      </c>
      <c r="G83" s="20">
        <v>1875</v>
      </c>
      <c r="H83" s="33">
        <v>6.6254</v>
      </c>
    </row>
    <row r="84" spans="1:8" x14ac:dyDescent="0.25">
      <c r="A84">
        <f>VLOOKUP(B84,'MONTH CONVERSION'!$A$2:$B$13,2,FALSE)</f>
        <v>6</v>
      </c>
      <c r="B84" t="s">
        <v>96</v>
      </c>
      <c r="C84" s="52" t="s">
        <v>102</v>
      </c>
      <c r="D84" s="33">
        <v>300</v>
      </c>
      <c r="E84" s="20">
        <v>24720</v>
      </c>
      <c r="F84" s="20">
        <v>25992</v>
      </c>
      <c r="G84" s="20">
        <v>1272</v>
      </c>
      <c r="H84" s="33">
        <v>5.1456</v>
      </c>
    </row>
    <row r="85" spans="1:8" x14ac:dyDescent="0.25">
      <c r="A85">
        <f>VLOOKUP(B85,'MONTH CONVERSION'!$A$2:$B$13,2,FALSE)</f>
        <v>6</v>
      </c>
      <c r="B85" t="s">
        <v>96</v>
      </c>
      <c r="C85" s="52" t="s">
        <v>102</v>
      </c>
      <c r="D85" s="33">
        <v>2</v>
      </c>
      <c r="E85" s="20">
        <v>1550.4</v>
      </c>
      <c r="F85" s="20">
        <v>1580.7</v>
      </c>
      <c r="G85" s="20">
        <v>30.3</v>
      </c>
      <c r="H85" s="33">
        <v>1.9542999999999999</v>
      </c>
    </row>
    <row r="86" spans="1:8" x14ac:dyDescent="0.25">
      <c r="A86">
        <f>VLOOKUP(B86,'MONTH CONVERSION'!$A$2:$B$13,2,FALSE)</f>
        <v>6</v>
      </c>
      <c r="B86" t="s">
        <v>96</v>
      </c>
      <c r="C86" s="52" t="s">
        <v>102</v>
      </c>
      <c r="D86" s="33">
        <v>1</v>
      </c>
      <c r="E86" s="20">
        <v>7125.01</v>
      </c>
      <c r="F86" s="20">
        <v>7450</v>
      </c>
      <c r="G86" s="20">
        <v>324.99</v>
      </c>
      <c r="H86" s="33">
        <v>4.5613000000000001</v>
      </c>
    </row>
    <row r="87" spans="1:8" x14ac:dyDescent="0.25">
      <c r="A87">
        <f>VLOOKUP(B87,'MONTH CONVERSION'!$A$2:$B$13,2,FALSE)</f>
        <v>6</v>
      </c>
      <c r="B87" t="s">
        <v>96</v>
      </c>
      <c r="C87" s="52" t="s">
        <v>102</v>
      </c>
      <c r="D87" s="33">
        <v>1</v>
      </c>
      <c r="E87" s="20">
        <v>7375</v>
      </c>
      <c r="F87" s="20">
        <v>7350</v>
      </c>
      <c r="G87" s="20">
        <v>-25</v>
      </c>
      <c r="H87" s="33">
        <v>-0.33900000000000002</v>
      </c>
    </row>
    <row r="88" spans="1:8" x14ac:dyDescent="0.25">
      <c r="A88">
        <f>VLOOKUP(B88,'MONTH CONVERSION'!$A$2:$B$13,2,FALSE)</f>
        <v>6</v>
      </c>
      <c r="B88" t="s">
        <v>96</v>
      </c>
      <c r="C88" s="52" t="s">
        <v>102</v>
      </c>
      <c r="D88" s="33">
        <v>356</v>
      </c>
      <c r="E88" s="20">
        <v>9884.4500000000007</v>
      </c>
      <c r="F88" s="20">
        <v>9914.6</v>
      </c>
      <c r="G88" s="20">
        <v>30.15</v>
      </c>
      <c r="H88" s="33">
        <v>0.30499999999999999</v>
      </c>
    </row>
    <row r="89" spans="1:8" x14ac:dyDescent="0.25">
      <c r="A89">
        <f>VLOOKUP(B89,'MONTH CONVERSION'!$A$2:$B$13,2,FALSE)</f>
        <v>6</v>
      </c>
      <c r="B89" t="s">
        <v>96</v>
      </c>
      <c r="C89" s="52" t="s">
        <v>102</v>
      </c>
      <c r="D89" s="33">
        <v>50</v>
      </c>
      <c r="E89" s="20">
        <v>7195</v>
      </c>
      <c r="F89" s="20">
        <v>7352</v>
      </c>
      <c r="G89" s="20">
        <v>157</v>
      </c>
      <c r="H89" s="33">
        <v>2.1821000000000002</v>
      </c>
    </row>
    <row r="90" spans="1:8" x14ac:dyDescent="0.25">
      <c r="A90">
        <f>VLOOKUP(B90,'MONTH CONVERSION'!$A$2:$B$13,2,FALSE)</f>
        <v>6</v>
      </c>
      <c r="B90" t="s">
        <v>96</v>
      </c>
      <c r="C90" s="52" t="s">
        <v>102</v>
      </c>
      <c r="D90" s="33">
        <v>5</v>
      </c>
      <c r="E90" s="20">
        <v>490</v>
      </c>
      <c r="F90" s="20">
        <v>532.75</v>
      </c>
      <c r="G90" s="20">
        <v>42.75</v>
      </c>
      <c r="H90" s="33">
        <v>8.7245000000000008</v>
      </c>
    </row>
    <row r="91" spans="1:8" x14ac:dyDescent="0.25">
      <c r="A91">
        <f>VLOOKUP(B91,'MONTH CONVERSION'!$A$2:$B$13,2,FALSE)</f>
        <v>6</v>
      </c>
      <c r="B91" t="s">
        <v>96</v>
      </c>
      <c r="C91" s="32" t="s">
        <v>101</v>
      </c>
      <c r="D91" s="33">
        <v>300</v>
      </c>
      <c r="E91" s="20">
        <v>7194</v>
      </c>
      <c r="F91" s="20">
        <v>7170</v>
      </c>
      <c r="G91" s="20">
        <v>-24</v>
      </c>
      <c r="H91" s="33">
        <v>-0.33360000000000001</v>
      </c>
    </row>
    <row r="92" spans="1:8" x14ac:dyDescent="0.25">
      <c r="A92">
        <f>VLOOKUP(B92,'MONTH CONVERSION'!$A$2:$B$13,2,FALSE)</f>
        <v>7</v>
      </c>
      <c r="B92" t="s">
        <v>97</v>
      </c>
      <c r="C92" s="52" t="s">
        <v>101</v>
      </c>
      <c r="D92" s="37">
        <v>300</v>
      </c>
      <c r="E92" s="20">
        <v>36465</v>
      </c>
      <c r="F92" s="20">
        <v>37418</v>
      </c>
      <c r="G92" s="20">
        <v>953</v>
      </c>
      <c r="H92" s="37">
        <v>2.6135000000000002</v>
      </c>
    </row>
    <row r="93" spans="1:8" x14ac:dyDescent="0.25">
      <c r="A93">
        <f>VLOOKUP(B93,'MONTH CONVERSION'!$A$2:$B$13,2,FALSE)</f>
        <v>7</v>
      </c>
      <c r="B93" t="s">
        <v>97</v>
      </c>
      <c r="C93" s="52" t="s">
        <v>101</v>
      </c>
      <c r="D93" s="37">
        <v>156</v>
      </c>
      <c r="E93" s="20">
        <v>7816.94</v>
      </c>
      <c r="F93" s="20">
        <v>8712.6</v>
      </c>
      <c r="G93" s="20">
        <v>895.66</v>
      </c>
      <c r="H93" s="37">
        <v>11.4579</v>
      </c>
    </row>
    <row r="94" spans="1:8" x14ac:dyDescent="0.25">
      <c r="A94">
        <f>VLOOKUP(B94,'MONTH CONVERSION'!$A$2:$B$13,2,FALSE)</f>
        <v>7</v>
      </c>
      <c r="B94" t="s">
        <v>97</v>
      </c>
      <c r="C94" s="36" t="s">
        <v>103</v>
      </c>
      <c r="D94" s="37">
        <v>100</v>
      </c>
      <c r="E94" s="20">
        <v>6495</v>
      </c>
      <c r="F94" s="20">
        <v>6560</v>
      </c>
      <c r="G94" s="20">
        <v>65</v>
      </c>
      <c r="H94" s="37">
        <v>1.0007999999999999</v>
      </c>
    </row>
    <row r="95" spans="1:8" x14ac:dyDescent="0.25">
      <c r="A95">
        <f>VLOOKUP(B95,'MONTH CONVERSION'!$A$2:$B$13,2,FALSE)</f>
        <v>7</v>
      </c>
      <c r="B95" t="s">
        <v>97</v>
      </c>
      <c r="C95" s="52" t="s">
        <v>103</v>
      </c>
      <c r="D95" s="37">
        <v>88</v>
      </c>
      <c r="E95" s="20">
        <v>28306.75</v>
      </c>
      <c r="F95" s="20">
        <v>29460.2</v>
      </c>
      <c r="G95" s="20">
        <v>1153.45</v>
      </c>
      <c r="H95" s="37">
        <v>4.0747999999999998</v>
      </c>
    </row>
    <row r="96" spans="1:8" x14ac:dyDescent="0.25">
      <c r="A96">
        <f>VLOOKUP(B96,'MONTH CONVERSION'!$A$2:$B$13,2,FALSE)</f>
        <v>7</v>
      </c>
      <c r="B96" t="s">
        <v>97</v>
      </c>
      <c r="C96" s="52" t="s">
        <v>103</v>
      </c>
      <c r="D96" s="37">
        <v>600</v>
      </c>
      <c r="E96" s="20">
        <v>7668</v>
      </c>
      <c r="F96" s="20">
        <v>7866</v>
      </c>
      <c r="G96" s="20">
        <v>198</v>
      </c>
      <c r="H96" s="37">
        <v>2.5821999999999998</v>
      </c>
    </row>
    <row r="97" spans="1:8" x14ac:dyDescent="0.25">
      <c r="A97">
        <f>VLOOKUP(B97,'MONTH CONVERSION'!$A$2:$B$13,2,FALSE)</f>
        <v>8</v>
      </c>
      <c r="B97" t="s">
        <v>92</v>
      </c>
      <c r="C97" s="52" t="s">
        <v>103</v>
      </c>
      <c r="D97" s="40">
        <v>308</v>
      </c>
      <c r="E97" s="20">
        <v>25568.62</v>
      </c>
      <c r="F97" s="20">
        <v>26626.6</v>
      </c>
      <c r="G97" s="20">
        <v>1057.98</v>
      </c>
      <c r="H97" s="40">
        <v>4.1378000000000004</v>
      </c>
    </row>
    <row r="98" spans="1:8" x14ac:dyDescent="0.25">
      <c r="A98">
        <f>VLOOKUP(B98,'MONTH CONVERSION'!$A$2:$B$13,2,FALSE)</f>
        <v>9</v>
      </c>
      <c r="B98" t="s">
        <v>93</v>
      </c>
      <c r="C98" s="52" t="s">
        <v>103</v>
      </c>
      <c r="D98" s="43">
        <v>300</v>
      </c>
      <c r="E98" s="20">
        <v>10950</v>
      </c>
      <c r="F98" s="20">
        <v>11100</v>
      </c>
      <c r="G98" s="20">
        <v>150</v>
      </c>
      <c r="H98" s="43">
        <v>1.3698999999999999</v>
      </c>
    </row>
    <row r="99" spans="1:8" x14ac:dyDescent="0.25">
      <c r="A99">
        <f>VLOOKUP(B99,'MONTH CONVERSION'!$A$2:$B$13,2,FALSE)</f>
        <v>9</v>
      </c>
      <c r="B99" t="s">
        <v>93</v>
      </c>
      <c r="C99" s="52" t="s">
        <v>103</v>
      </c>
      <c r="D99" s="43">
        <v>17</v>
      </c>
      <c r="E99" s="20">
        <v>13419.2</v>
      </c>
      <c r="F99" s="20">
        <v>13959.55</v>
      </c>
      <c r="G99" s="20">
        <v>540.35</v>
      </c>
      <c r="H99" s="43">
        <v>4.0266999999999999</v>
      </c>
    </row>
    <row r="100" spans="1:8" x14ac:dyDescent="0.25">
      <c r="A100">
        <f>VLOOKUP(B100,'MONTH CONVERSION'!$A$2:$B$13,2,FALSE)</f>
        <v>10</v>
      </c>
      <c r="B100" t="s">
        <v>94</v>
      </c>
      <c r="C100" s="46" t="s">
        <v>103</v>
      </c>
      <c r="D100" s="47">
        <v>46</v>
      </c>
      <c r="E100" s="20">
        <v>9812.4</v>
      </c>
      <c r="F100" s="20">
        <v>10263.06</v>
      </c>
      <c r="G100" s="20">
        <v>450.66</v>
      </c>
      <c r="H100" s="47">
        <v>4.5928000000000004</v>
      </c>
    </row>
    <row r="101" spans="1:8" x14ac:dyDescent="0.25">
      <c r="A101">
        <f>VLOOKUP(B101,'MONTH CONVERSION'!$A$2:$B$13,2,FALSE)</f>
        <v>10</v>
      </c>
      <c r="B101" t="s">
        <v>94</v>
      </c>
      <c r="C101" s="52" t="s">
        <v>103</v>
      </c>
      <c r="D101" s="47">
        <v>520</v>
      </c>
      <c r="E101" s="20">
        <v>10383.200000000001</v>
      </c>
      <c r="F101" s="20">
        <v>10420.799999999999</v>
      </c>
      <c r="G101" s="20">
        <v>37.6</v>
      </c>
      <c r="H101" s="47">
        <v>0.36209999999999998</v>
      </c>
    </row>
    <row r="102" spans="1:8" x14ac:dyDescent="0.25">
      <c r="A102">
        <f>VLOOKUP(B102,'MONTH CONVERSION'!$A$2:$B$13,2,FALSE)</f>
        <v>10</v>
      </c>
      <c r="B102" t="s">
        <v>94</v>
      </c>
      <c r="C102" s="52" t="s">
        <v>104</v>
      </c>
      <c r="D102" s="47">
        <v>14</v>
      </c>
      <c r="E102" s="20">
        <v>92787.45</v>
      </c>
      <c r="F102" s="20">
        <v>93665.600000000006</v>
      </c>
      <c r="G102" s="20">
        <v>878.15</v>
      </c>
      <c r="H102" s="47">
        <v>0.94640000000000002</v>
      </c>
    </row>
    <row r="103" spans="1:8" x14ac:dyDescent="0.25">
      <c r="A103">
        <f>VLOOKUP(B103,'MONTH CONVERSION'!$A$2:$B$13,2,FALSE)</f>
        <v>10</v>
      </c>
      <c r="B103" t="s">
        <v>94</v>
      </c>
      <c r="C103" s="52" t="s">
        <v>104</v>
      </c>
      <c r="D103" s="47">
        <v>24</v>
      </c>
      <c r="E103" s="20">
        <v>22099.85</v>
      </c>
      <c r="F103" s="20">
        <v>22320</v>
      </c>
      <c r="G103" s="20">
        <v>220.15</v>
      </c>
      <c r="H103" s="47">
        <v>0.99619999999999997</v>
      </c>
    </row>
    <row r="104" spans="1:8" x14ac:dyDescent="0.25">
      <c r="A104">
        <f>VLOOKUP(B104,'MONTH CONVERSION'!$A$2:$B$13,2,FALSE)</f>
        <v>11</v>
      </c>
      <c r="B104" t="s">
        <v>95</v>
      </c>
      <c r="C104" s="52" t="s">
        <v>104</v>
      </c>
      <c r="D104" s="51">
        <v>152</v>
      </c>
      <c r="E104" s="20">
        <v>22231.19</v>
      </c>
      <c r="F104" s="20">
        <v>22354.1</v>
      </c>
      <c r="G104" s="20">
        <v>122.91</v>
      </c>
      <c r="H104" s="51">
        <v>0.55289999999999995</v>
      </c>
    </row>
    <row r="105" spans="1:8" x14ac:dyDescent="0.25">
      <c r="A105">
        <f>VLOOKUP(B105,'MONTH CONVERSION'!$A$2:$B$13,2,FALSE)</f>
        <v>11</v>
      </c>
      <c r="B105" t="s">
        <v>95</v>
      </c>
      <c r="C105" s="52" t="s">
        <v>104</v>
      </c>
      <c r="D105" s="51">
        <v>5</v>
      </c>
      <c r="E105" s="20">
        <v>1432.25</v>
      </c>
      <c r="F105" s="20">
        <v>1500</v>
      </c>
      <c r="G105" s="20">
        <v>67.75</v>
      </c>
      <c r="H105" s="51">
        <v>4.7302999999999997</v>
      </c>
    </row>
    <row r="106" spans="1:8" x14ac:dyDescent="0.25">
      <c r="A106">
        <f>VLOOKUP(B106,'MONTH CONVERSION'!$A$2:$B$13,2,FALSE)</f>
        <v>11</v>
      </c>
      <c r="B106" t="s">
        <v>95</v>
      </c>
      <c r="C106" s="52" t="s">
        <v>104</v>
      </c>
      <c r="D106" s="51">
        <v>465</v>
      </c>
      <c r="E106" s="20">
        <v>101864.8</v>
      </c>
      <c r="F106" s="20">
        <v>103578</v>
      </c>
      <c r="G106" s="20">
        <v>1713.2</v>
      </c>
      <c r="H106" s="51">
        <v>1.6818</v>
      </c>
    </row>
    <row r="107" spans="1:8" x14ac:dyDescent="0.25">
      <c r="A107">
        <f>VLOOKUP(B107,'MONTH CONVERSION'!$A$2:$B$13,2,FALSE)</f>
        <v>11</v>
      </c>
      <c r="B107" t="s">
        <v>95</v>
      </c>
      <c r="C107" s="50" t="s">
        <v>104</v>
      </c>
      <c r="D107" s="51">
        <v>7</v>
      </c>
      <c r="E107" s="20">
        <v>4861.6000000000004</v>
      </c>
      <c r="F107" s="20">
        <v>5096</v>
      </c>
      <c r="G107" s="20">
        <v>234.4</v>
      </c>
      <c r="H107" s="51">
        <v>4.8215000000000003</v>
      </c>
    </row>
    <row r="108" spans="1:8" x14ac:dyDescent="0.25">
      <c r="A108">
        <f>VLOOKUP(B108,'MONTH CONVERSION'!$A$2:$B$13,2,FALSE)</f>
        <v>11</v>
      </c>
      <c r="B108" t="s">
        <v>95</v>
      </c>
      <c r="C108" s="50" t="s">
        <v>103</v>
      </c>
      <c r="D108" s="51">
        <v>55</v>
      </c>
      <c r="E108" s="20">
        <v>10647.45</v>
      </c>
      <c r="F108" s="20">
        <v>11517</v>
      </c>
      <c r="G108" s="20">
        <v>869.55</v>
      </c>
      <c r="H108" s="51">
        <v>8.1667000000000005</v>
      </c>
    </row>
    <row r="109" spans="1:8" x14ac:dyDescent="0.25">
      <c r="A109">
        <f>VLOOKUP(B109,'MONTH CONVERSION'!$A$2:$B$13,2,FALSE)</f>
        <v>11</v>
      </c>
      <c r="B109" t="s">
        <v>95</v>
      </c>
      <c r="C109" s="50" t="s">
        <v>103</v>
      </c>
      <c r="D109" s="51">
        <v>220</v>
      </c>
      <c r="E109" s="20">
        <v>16385</v>
      </c>
      <c r="F109" s="20">
        <v>17025.2</v>
      </c>
      <c r="G109" s="20">
        <v>640.20000000000005</v>
      </c>
      <c r="H109" s="51">
        <v>3.9072</v>
      </c>
    </row>
    <row r="110" spans="1:8" x14ac:dyDescent="0.25">
      <c r="E110" s="16"/>
      <c r="F110" s="20"/>
    </row>
    <row r="111" spans="1:8" x14ac:dyDescent="0.25">
      <c r="E111" s="1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BB4EB-F535-4451-A28A-E397E88C6AC3}">
  <dimension ref="A1:L26"/>
  <sheetViews>
    <sheetView zoomScaleNormal="100" workbookViewId="0">
      <selection activeCell="A2" sqref="A2:A114"/>
    </sheetView>
  </sheetViews>
  <sheetFormatPr defaultRowHeight="15" x14ac:dyDescent="0.25"/>
  <cols>
    <col min="1" max="1" width="4.5703125" bestFit="1" customWidth="1"/>
    <col min="2" max="2" width="7.7109375" bestFit="1" customWidth="1"/>
    <col min="3" max="3" width="14.140625" style="2" bestFit="1" customWidth="1"/>
    <col min="4" max="4" width="34.140625" style="2" bestFit="1" customWidth="1"/>
    <col min="5" max="5" width="20.28515625" bestFit="1" customWidth="1"/>
    <col min="6" max="6" width="15.42578125" bestFit="1" customWidth="1"/>
    <col min="7" max="7" width="13.5703125" bestFit="1" customWidth="1"/>
    <col min="8" max="8" width="18.85546875" style="2" bestFit="1" customWidth="1"/>
    <col min="9" max="9" width="30" bestFit="1" customWidth="1"/>
    <col min="10" max="10" width="22.85546875" style="2" bestFit="1" customWidth="1"/>
    <col min="11" max="11" width="15.7109375" bestFit="1" customWidth="1"/>
    <col min="12" max="12" width="7" style="2" bestFit="1" customWidth="1"/>
    <col min="13" max="13" width="13.85546875" bestFit="1" customWidth="1"/>
    <col min="14" max="14" width="7" bestFit="1" customWidth="1"/>
  </cols>
  <sheetData>
    <row r="1" spans="1:12" s="15" customFormat="1" ht="15.75" x14ac:dyDescent="0.25">
      <c r="A1" s="15" t="s">
        <v>98</v>
      </c>
      <c r="B1" s="15" t="s">
        <v>0</v>
      </c>
      <c r="C1" s="54" t="s">
        <v>25</v>
      </c>
      <c r="D1" s="54" t="s">
        <v>26</v>
      </c>
      <c r="E1" s="15" t="s">
        <v>27</v>
      </c>
      <c r="F1" s="15" t="s">
        <v>28</v>
      </c>
      <c r="G1" s="15" t="s">
        <v>29</v>
      </c>
      <c r="H1" s="54" t="s">
        <v>30</v>
      </c>
      <c r="I1" s="15" t="s">
        <v>31</v>
      </c>
      <c r="J1" s="54" t="s">
        <v>32</v>
      </c>
      <c r="K1" s="15" t="s">
        <v>33</v>
      </c>
      <c r="L1" s="54" t="s">
        <v>34</v>
      </c>
    </row>
    <row r="2" spans="1:12" x14ac:dyDescent="0.25">
      <c r="A2">
        <f>VLOOKUP(B2,'MONTH CONVERSION'!$A$2:$B$13,2,FALSE)</f>
        <v>1</v>
      </c>
      <c r="B2" t="s">
        <v>89</v>
      </c>
      <c r="C2" s="56">
        <v>34.871000000000002</v>
      </c>
      <c r="D2" s="56">
        <v>9.9322999999999997</v>
      </c>
      <c r="E2" s="56">
        <v>0</v>
      </c>
      <c r="F2" s="56">
        <v>0</v>
      </c>
      <c r="G2" s="56">
        <v>0</v>
      </c>
      <c r="H2" s="56">
        <v>8.1448999999999998</v>
      </c>
      <c r="I2" s="56">
        <v>137</v>
      </c>
      <c r="J2" s="56">
        <v>0.2286</v>
      </c>
      <c r="K2" s="56">
        <v>12</v>
      </c>
      <c r="L2" s="56">
        <v>0.2185</v>
      </c>
    </row>
    <row r="3" spans="1:12" x14ac:dyDescent="0.25">
      <c r="A3">
        <f>VLOOKUP(B3,'MONTH CONVERSION'!$A$2:$B$13,2,FALSE)</f>
        <v>2</v>
      </c>
      <c r="B3" t="s">
        <v>35</v>
      </c>
      <c r="C3" s="57">
        <v>1.4189000000000001</v>
      </c>
      <c r="D3" s="57">
        <v>1.752</v>
      </c>
      <c r="E3" s="57">
        <v>0</v>
      </c>
      <c r="F3" s="57">
        <v>0</v>
      </c>
      <c r="G3" s="57">
        <v>0</v>
      </c>
      <c r="H3" s="57">
        <v>0.58620000000000005</v>
      </c>
      <c r="I3" s="57">
        <v>41</v>
      </c>
      <c r="J3" s="57">
        <v>5.1299999999999998E-2</v>
      </c>
      <c r="K3" s="57">
        <v>4</v>
      </c>
      <c r="L3" s="57">
        <v>3.4599999999999999E-2</v>
      </c>
    </row>
    <row r="4" spans="1:12" x14ac:dyDescent="0.25">
      <c r="A4">
        <f>VLOOKUP(B4,'MONTH CONVERSION'!$A$2:$B$13,2,FALSE)</f>
        <v>3</v>
      </c>
      <c r="B4" t="s">
        <v>90</v>
      </c>
      <c r="C4" s="57">
        <v>4.3285999999999998</v>
      </c>
      <c r="D4" s="57">
        <v>12.446400000000001</v>
      </c>
      <c r="E4" s="57">
        <v>0</v>
      </c>
      <c r="F4" s="57">
        <v>0</v>
      </c>
      <c r="G4" s="57">
        <v>0</v>
      </c>
      <c r="H4" s="57">
        <v>3.0428000000000002</v>
      </c>
      <c r="I4" s="57">
        <v>72</v>
      </c>
      <c r="J4" s="57">
        <v>8.1199999999999994E-2</v>
      </c>
      <c r="K4" s="57">
        <v>5</v>
      </c>
      <c r="L4" s="57">
        <v>4.8399999999999999E-2</v>
      </c>
    </row>
    <row r="5" spans="1:12" x14ac:dyDescent="0.25">
      <c r="A5">
        <f>VLOOKUP(B5,'MONTH CONVERSION'!$A$2:$B$13,2,FALSE)</f>
        <v>4</v>
      </c>
      <c r="B5" t="s">
        <v>91</v>
      </c>
      <c r="C5" s="57">
        <v>43.5884</v>
      </c>
      <c r="D5" s="57">
        <v>11.2844</v>
      </c>
      <c r="E5" s="57">
        <v>0</v>
      </c>
      <c r="F5" s="57">
        <v>0</v>
      </c>
      <c r="G5" s="57">
        <v>0</v>
      </c>
      <c r="H5" s="57">
        <v>9.9619</v>
      </c>
      <c r="I5" s="57">
        <v>150</v>
      </c>
      <c r="J5" s="57">
        <v>0.3014</v>
      </c>
      <c r="K5" s="57">
        <v>11</v>
      </c>
      <c r="L5" s="57">
        <v>0.1696</v>
      </c>
    </row>
    <row r="6" spans="1:12" x14ac:dyDescent="0.25">
      <c r="A6">
        <f>VLOOKUP(B6,'MONTH CONVERSION'!$A$2:$B$13,2,FALSE)</f>
        <v>5</v>
      </c>
      <c r="B6" t="s">
        <v>77</v>
      </c>
      <c r="C6" s="57">
        <v>10.148899999999999</v>
      </c>
      <c r="D6" s="57">
        <v>7.7355999999999998</v>
      </c>
      <c r="E6" s="57">
        <v>0</v>
      </c>
      <c r="F6" s="57">
        <v>0</v>
      </c>
      <c r="G6" s="57">
        <v>0</v>
      </c>
      <c r="H6" s="57">
        <v>3.2894000000000001</v>
      </c>
      <c r="I6" s="57">
        <v>157</v>
      </c>
      <c r="J6" s="57">
        <v>0.22900000000000001</v>
      </c>
      <c r="K6" s="57">
        <v>18</v>
      </c>
      <c r="L6" s="57">
        <v>0.16109999999999999</v>
      </c>
    </row>
    <row r="7" spans="1:12" x14ac:dyDescent="0.25">
      <c r="A7">
        <f>VLOOKUP(B7,'MONTH CONVERSION'!$A$2:$B$13,2,FALSE)</f>
        <v>6</v>
      </c>
      <c r="B7" t="s">
        <v>96</v>
      </c>
      <c r="C7" s="57">
        <v>56.979900000000001</v>
      </c>
      <c r="D7" s="57">
        <v>29.0395</v>
      </c>
      <c r="E7" s="57">
        <v>0</v>
      </c>
      <c r="F7" s="57">
        <v>0</v>
      </c>
      <c r="G7" s="57">
        <v>0</v>
      </c>
      <c r="H7" s="57">
        <v>15.738</v>
      </c>
      <c r="I7" s="57">
        <v>650</v>
      </c>
      <c r="J7" s="57">
        <v>0.85529999999999995</v>
      </c>
      <c r="K7" s="57">
        <v>62</v>
      </c>
      <c r="L7" s="57">
        <v>0.55859999999999999</v>
      </c>
    </row>
    <row r="8" spans="1:12" x14ac:dyDescent="0.25">
      <c r="A8">
        <f>VLOOKUP(B8,'MONTH CONVERSION'!$A$2:$B$13,2,FALSE)</f>
        <v>7</v>
      </c>
      <c r="B8" t="s">
        <v>97</v>
      </c>
      <c r="C8" s="57">
        <v>7.0000000000000007E-2</v>
      </c>
      <c r="D8" s="57">
        <v>5.0430999999999999</v>
      </c>
      <c r="E8" s="57">
        <v>0</v>
      </c>
      <c r="F8" s="57">
        <v>0</v>
      </c>
      <c r="G8" s="57">
        <v>0</v>
      </c>
      <c r="H8" s="57">
        <v>0.96399999999999997</v>
      </c>
      <c r="I8" s="57">
        <v>148</v>
      </c>
      <c r="J8" s="57">
        <v>0.14779999999999999</v>
      </c>
      <c r="K8" s="57">
        <v>9</v>
      </c>
      <c r="L8" s="57">
        <v>9.4399999999999998E-2</v>
      </c>
    </row>
    <row r="9" spans="1:12" x14ac:dyDescent="0.25">
      <c r="A9">
        <f>VLOOKUP(B9,'MONTH CONVERSION'!$A$2:$B$13,2,FALSE)</f>
        <v>8</v>
      </c>
      <c r="B9" t="s">
        <v>92</v>
      </c>
      <c r="C9" s="57">
        <v>0.01</v>
      </c>
      <c r="D9" s="57">
        <v>0.99850000000000005</v>
      </c>
      <c r="E9" s="57">
        <v>0</v>
      </c>
      <c r="F9" s="57">
        <v>0</v>
      </c>
      <c r="G9" s="57">
        <v>0</v>
      </c>
      <c r="H9" s="57">
        <v>0.18629999999999999</v>
      </c>
      <c r="I9" s="57">
        <v>27</v>
      </c>
      <c r="J9" s="57">
        <v>2.6599999999999999E-2</v>
      </c>
      <c r="K9" s="57">
        <v>0</v>
      </c>
      <c r="L9" s="57">
        <v>0</v>
      </c>
    </row>
    <row r="10" spans="1:12" x14ac:dyDescent="0.25">
      <c r="A10">
        <f>VLOOKUP(B10,'MONTH CONVERSION'!$A$2:$B$13,2,FALSE)</f>
        <v>9</v>
      </c>
      <c r="B10" t="s">
        <v>93</v>
      </c>
      <c r="C10" s="57">
        <v>0.05</v>
      </c>
      <c r="D10" s="57">
        <v>1.9139999999999999</v>
      </c>
      <c r="E10" s="57">
        <v>0</v>
      </c>
      <c r="F10" s="57">
        <v>0</v>
      </c>
      <c r="G10" s="57">
        <v>0</v>
      </c>
      <c r="H10" s="57">
        <v>0.36809999999999998</v>
      </c>
      <c r="I10" s="57">
        <v>54</v>
      </c>
      <c r="J10" s="57">
        <v>5.4800000000000001E-2</v>
      </c>
      <c r="K10" s="57">
        <v>5</v>
      </c>
      <c r="L10" s="57">
        <v>2.63E-2</v>
      </c>
    </row>
    <row r="11" spans="1:12" x14ac:dyDescent="0.25">
      <c r="A11">
        <f>VLOOKUP(B11,'MONTH CONVERSION'!$A$2:$B$13,2,FALSE)</f>
        <v>10</v>
      </c>
      <c r="B11" t="s">
        <v>94</v>
      </c>
      <c r="C11" s="57">
        <v>34.002600000000001</v>
      </c>
      <c r="D11" s="57">
        <v>14.0985</v>
      </c>
      <c r="E11" s="57">
        <v>0</v>
      </c>
      <c r="F11" s="57">
        <v>0</v>
      </c>
      <c r="G11" s="57">
        <v>0</v>
      </c>
      <c r="H11" s="57">
        <v>8.8102999999999998</v>
      </c>
      <c r="I11" s="57">
        <v>359</v>
      </c>
      <c r="J11" s="57">
        <v>0.45669999999999999</v>
      </c>
      <c r="K11" s="57">
        <v>41</v>
      </c>
      <c r="L11" s="57">
        <v>0.3881</v>
      </c>
    </row>
    <row r="12" spans="1:12" x14ac:dyDescent="0.25">
      <c r="A12">
        <f>VLOOKUP(B12,'MONTH CONVERSION'!$A$2:$B$13,2,FALSE)</f>
        <v>11</v>
      </c>
      <c r="B12" t="s">
        <v>95</v>
      </c>
      <c r="C12" s="57">
        <v>20.955500000000001</v>
      </c>
      <c r="D12" s="57">
        <v>9.6004000000000005</v>
      </c>
      <c r="E12" s="57">
        <v>0</v>
      </c>
      <c r="F12" s="57">
        <v>0</v>
      </c>
      <c r="G12" s="57">
        <v>0</v>
      </c>
      <c r="H12" s="57">
        <v>5.5937999999999999</v>
      </c>
      <c r="I12" s="57">
        <v>226</v>
      </c>
      <c r="J12" s="57">
        <v>0.30159999999999998</v>
      </c>
      <c r="K12" s="57">
        <v>17</v>
      </c>
      <c r="L12" s="57">
        <v>0.21929999999999999</v>
      </c>
    </row>
    <row r="13" spans="1:12" x14ac:dyDescent="0.25">
      <c r="C13" s="55"/>
      <c r="D13" s="8"/>
    </row>
    <row r="14" spans="1:12" x14ac:dyDescent="0.25">
      <c r="C14" s="55"/>
    </row>
    <row r="15" spans="1:12" x14ac:dyDescent="0.25">
      <c r="C15" s="55"/>
      <c r="D15" s="8"/>
    </row>
    <row r="16" spans="1:12" x14ac:dyDescent="0.25">
      <c r="C16" s="55"/>
      <c r="D16" s="8"/>
    </row>
    <row r="17" spans="3:4" x14ac:dyDescent="0.25">
      <c r="C17" s="55"/>
      <c r="D17" s="8"/>
    </row>
    <row r="18" spans="3:4" x14ac:dyDescent="0.25">
      <c r="C18" s="55"/>
      <c r="D18" s="8"/>
    </row>
    <row r="19" spans="3:4" x14ac:dyDescent="0.25">
      <c r="C19" s="55"/>
      <c r="D19" s="8"/>
    </row>
    <row r="20" spans="3:4" x14ac:dyDescent="0.25">
      <c r="C20" s="55"/>
      <c r="D20" s="8"/>
    </row>
    <row r="21" spans="3:4" x14ac:dyDescent="0.25">
      <c r="C21" s="55"/>
      <c r="D21" s="8"/>
    </row>
    <row r="22" spans="3:4" x14ac:dyDescent="0.25">
      <c r="C22" s="55"/>
    </row>
    <row r="23" spans="3:4" x14ac:dyDescent="0.25">
      <c r="C23" s="55"/>
    </row>
    <row r="24" spans="3:4" x14ac:dyDescent="0.25">
      <c r="C24" s="55"/>
    </row>
    <row r="25" spans="3:4" x14ac:dyDescent="0.25">
      <c r="C25" s="55"/>
    </row>
    <row r="26" spans="3:4" x14ac:dyDescent="0.25">
      <c r="C26" s="5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123E8-9EA3-4475-B4D6-6A7774E3F87D}">
  <dimension ref="A1:G114"/>
  <sheetViews>
    <sheetView tabSelected="1" workbookViewId="0">
      <selection activeCell="D1" sqref="D1:D1048576"/>
    </sheetView>
  </sheetViews>
  <sheetFormatPr defaultRowHeight="15" x14ac:dyDescent="0.25"/>
  <cols>
    <col min="1" max="1" width="4.5703125" bestFit="1" customWidth="1"/>
    <col min="2" max="2" width="7.7109375" bestFit="1" customWidth="1"/>
    <col min="3" max="3" width="22.42578125" bestFit="1" customWidth="1"/>
    <col min="4" max="4" width="13.5703125" bestFit="1" customWidth="1"/>
    <col min="5" max="5" width="9" style="3" bestFit="1" customWidth="1"/>
    <col min="6" max="6" width="6.85546875" bestFit="1" customWidth="1"/>
    <col min="7" max="7" width="9" bestFit="1" customWidth="1"/>
  </cols>
  <sheetData>
    <row r="1" spans="1:6" s="4" customFormat="1" ht="15.75" x14ac:dyDescent="0.25">
      <c r="A1" s="15" t="s">
        <v>98</v>
      </c>
      <c r="B1" s="14" t="s">
        <v>0</v>
      </c>
      <c r="C1" s="14" t="s">
        <v>7</v>
      </c>
      <c r="D1" s="14" t="s">
        <v>8</v>
      </c>
      <c r="E1" s="21" t="s">
        <v>9</v>
      </c>
      <c r="F1" s="14" t="s">
        <v>10</v>
      </c>
    </row>
    <row r="2" spans="1:6" x14ac:dyDescent="0.25">
      <c r="A2">
        <f>VLOOKUP(B2,'MONTH CONVERSION'!$A$2:$B$13,2,FALSE)</f>
        <v>1</v>
      </c>
      <c r="B2" t="s">
        <v>89</v>
      </c>
      <c r="C2" t="s">
        <v>105</v>
      </c>
      <c r="D2" t="s">
        <v>14</v>
      </c>
      <c r="E2" s="19">
        <v>88.5</v>
      </c>
      <c r="F2" s="7">
        <v>0</v>
      </c>
    </row>
    <row r="3" spans="1:6" x14ac:dyDescent="0.25">
      <c r="A3">
        <f>VLOOKUP(B3,'MONTH CONVERSION'!$A$2:$B$13,2,FALSE)</f>
        <v>1</v>
      </c>
      <c r="B3" t="s">
        <v>89</v>
      </c>
      <c r="C3" t="s">
        <v>106</v>
      </c>
      <c r="D3" t="s">
        <v>15</v>
      </c>
      <c r="E3" s="19">
        <v>15.93</v>
      </c>
      <c r="F3" s="7">
        <v>0</v>
      </c>
    </row>
    <row r="4" spans="1:6" x14ac:dyDescent="0.25">
      <c r="A4">
        <f>VLOOKUP(B4,'MONTH CONVERSION'!$A$2:$B$13,2,FALSE)</f>
        <v>1</v>
      </c>
      <c r="B4" t="s">
        <v>89</v>
      </c>
      <c r="C4" t="s">
        <v>106</v>
      </c>
      <c r="D4" t="s">
        <v>15</v>
      </c>
      <c r="E4" s="19">
        <v>15.93</v>
      </c>
      <c r="F4" s="7">
        <v>0</v>
      </c>
    </row>
    <row r="5" spans="1:6" x14ac:dyDescent="0.25">
      <c r="A5">
        <f>VLOOKUP(B5,'MONTH CONVERSION'!$A$2:$B$13,2,FALSE)</f>
        <v>1</v>
      </c>
      <c r="B5" t="s">
        <v>89</v>
      </c>
      <c r="C5" t="s">
        <v>106</v>
      </c>
      <c r="D5" t="s">
        <v>15</v>
      </c>
      <c r="E5" s="19">
        <v>15.93</v>
      </c>
      <c r="F5" s="7">
        <v>0</v>
      </c>
    </row>
    <row r="6" spans="1:6" x14ac:dyDescent="0.25">
      <c r="A6">
        <f>VLOOKUP(B6,'MONTH CONVERSION'!$A$2:$B$13,2,FALSE)</f>
        <v>1</v>
      </c>
      <c r="B6" t="s">
        <v>89</v>
      </c>
      <c r="C6" t="s">
        <v>106</v>
      </c>
      <c r="D6" t="s">
        <v>15</v>
      </c>
      <c r="E6" s="19">
        <v>15.93</v>
      </c>
      <c r="F6" s="7">
        <v>0</v>
      </c>
    </row>
    <row r="7" spans="1:6" x14ac:dyDescent="0.25">
      <c r="A7">
        <f>VLOOKUP(B7,'MONTH CONVERSION'!$A$2:$B$13,2,FALSE)</f>
        <v>1</v>
      </c>
      <c r="B7" t="s">
        <v>89</v>
      </c>
      <c r="C7" t="s">
        <v>106</v>
      </c>
      <c r="D7" t="s">
        <v>16</v>
      </c>
      <c r="E7" s="19">
        <v>15.93</v>
      </c>
      <c r="F7" s="7">
        <v>0</v>
      </c>
    </row>
    <row r="8" spans="1:6" x14ac:dyDescent="0.25">
      <c r="A8">
        <f>VLOOKUP(B8,'MONTH CONVERSION'!$A$2:$B$13,2,FALSE)</f>
        <v>1</v>
      </c>
      <c r="B8" t="s">
        <v>89</v>
      </c>
      <c r="C8" t="s">
        <v>106</v>
      </c>
      <c r="D8" t="s">
        <v>17</v>
      </c>
      <c r="E8" s="19">
        <v>15.93</v>
      </c>
      <c r="F8" s="7">
        <v>0</v>
      </c>
    </row>
    <row r="9" spans="1:6" x14ac:dyDescent="0.25">
      <c r="A9">
        <f>VLOOKUP(B9,'MONTH CONVERSION'!$A$2:$B$13,2,FALSE)</f>
        <v>1</v>
      </c>
      <c r="B9" t="s">
        <v>89</v>
      </c>
      <c r="C9" t="s">
        <v>106</v>
      </c>
      <c r="D9" t="s">
        <v>17</v>
      </c>
      <c r="E9" s="19">
        <v>15.93</v>
      </c>
      <c r="F9" s="7">
        <v>0</v>
      </c>
    </row>
    <row r="10" spans="1:6" x14ac:dyDescent="0.25">
      <c r="A10">
        <f>VLOOKUP(B10,'MONTH CONVERSION'!$A$2:$B$13,2,FALSE)</f>
        <v>1</v>
      </c>
      <c r="B10" t="s">
        <v>89</v>
      </c>
      <c r="C10" t="s">
        <v>106</v>
      </c>
      <c r="D10" t="s">
        <v>17</v>
      </c>
      <c r="E10" s="19">
        <v>15.93</v>
      </c>
      <c r="F10" s="7">
        <v>0</v>
      </c>
    </row>
    <row r="11" spans="1:6" x14ac:dyDescent="0.25">
      <c r="A11">
        <f>VLOOKUP(B11,'MONTH CONVERSION'!$A$2:$B$13,2,FALSE)</f>
        <v>1</v>
      </c>
      <c r="B11" t="s">
        <v>89</v>
      </c>
      <c r="C11" t="s">
        <v>106</v>
      </c>
      <c r="D11" t="s">
        <v>18</v>
      </c>
      <c r="E11" s="19">
        <v>15.93</v>
      </c>
      <c r="F11" s="7">
        <v>0</v>
      </c>
    </row>
    <row r="12" spans="1:6" x14ac:dyDescent="0.25">
      <c r="A12">
        <f>VLOOKUP(B12,'MONTH CONVERSION'!$A$2:$B$13,2,FALSE)</f>
        <v>1</v>
      </c>
      <c r="B12" t="s">
        <v>89</v>
      </c>
      <c r="C12" t="s">
        <v>106</v>
      </c>
      <c r="D12" t="s">
        <v>19</v>
      </c>
      <c r="E12" s="19">
        <v>15.93</v>
      </c>
      <c r="F12" s="7">
        <v>0</v>
      </c>
    </row>
    <row r="13" spans="1:6" x14ac:dyDescent="0.25">
      <c r="A13">
        <f>VLOOKUP(B13,'MONTH CONVERSION'!$A$2:$B$13,2,FALSE)</f>
        <v>1</v>
      </c>
      <c r="B13" t="s">
        <v>89</v>
      </c>
      <c r="C13" t="s">
        <v>106</v>
      </c>
      <c r="D13" t="s">
        <v>19</v>
      </c>
      <c r="E13" s="19">
        <v>15.93</v>
      </c>
      <c r="F13" s="7">
        <v>0</v>
      </c>
    </row>
    <row r="14" spans="1:6" x14ac:dyDescent="0.25">
      <c r="A14">
        <f>VLOOKUP(B14,'MONTH CONVERSION'!$A$2:$B$13,2,FALSE)</f>
        <v>1</v>
      </c>
      <c r="B14" t="s">
        <v>89</v>
      </c>
      <c r="C14" t="s">
        <v>106</v>
      </c>
      <c r="D14" t="s">
        <v>20</v>
      </c>
      <c r="E14" s="19">
        <v>15.93</v>
      </c>
      <c r="F14" s="7">
        <v>0</v>
      </c>
    </row>
    <row r="15" spans="1:6" x14ac:dyDescent="0.25">
      <c r="A15">
        <f>VLOOKUP(B15,'MONTH CONVERSION'!$A$2:$B$13,2,FALSE)</f>
        <v>1</v>
      </c>
      <c r="B15" t="s">
        <v>89</v>
      </c>
      <c r="C15" t="s">
        <v>106</v>
      </c>
      <c r="D15" t="s">
        <v>21</v>
      </c>
      <c r="E15" s="19">
        <v>15.93</v>
      </c>
      <c r="F15" s="7">
        <v>0</v>
      </c>
    </row>
    <row r="16" spans="1:6" x14ac:dyDescent="0.25">
      <c r="A16">
        <f>VLOOKUP(B16,'MONTH CONVERSION'!$A$2:$B$13,2,FALSE)</f>
        <v>1</v>
      </c>
      <c r="B16" t="s">
        <v>89</v>
      </c>
      <c r="C16" t="s">
        <v>106</v>
      </c>
      <c r="D16" t="s">
        <v>22</v>
      </c>
      <c r="E16" s="19">
        <v>15.93</v>
      </c>
      <c r="F16" s="7">
        <v>0</v>
      </c>
    </row>
    <row r="17" spans="1:7" x14ac:dyDescent="0.25">
      <c r="A17">
        <f>VLOOKUP(B17,'MONTH CONVERSION'!$A$2:$B$13,2,FALSE)</f>
        <v>1</v>
      </c>
      <c r="B17" t="s">
        <v>89</v>
      </c>
      <c r="C17" t="s">
        <v>106</v>
      </c>
      <c r="D17" t="s">
        <v>23</v>
      </c>
      <c r="E17" s="19">
        <v>15.93</v>
      </c>
      <c r="F17" s="7">
        <v>0</v>
      </c>
    </row>
    <row r="18" spans="1:7" x14ac:dyDescent="0.25">
      <c r="A18">
        <f>VLOOKUP(B18,'MONTH CONVERSION'!$A$2:$B$13,2,FALSE)</f>
        <v>1</v>
      </c>
      <c r="B18" t="s">
        <v>89</v>
      </c>
      <c r="C18" t="s">
        <v>106</v>
      </c>
      <c r="D18" t="s">
        <v>23</v>
      </c>
      <c r="E18" s="19">
        <v>15.93</v>
      </c>
      <c r="F18" s="7">
        <v>0</v>
      </c>
    </row>
    <row r="19" spans="1:7" x14ac:dyDescent="0.25">
      <c r="A19">
        <f>VLOOKUP(B19,'MONTH CONVERSION'!$A$2:$B$13,2,FALSE)</f>
        <v>1</v>
      </c>
      <c r="B19" t="s">
        <v>89</v>
      </c>
      <c r="C19" t="s">
        <v>106</v>
      </c>
      <c r="D19" t="s">
        <v>23</v>
      </c>
      <c r="E19" s="19">
        <v>15.93</v>
      </c>
      <c r="F19" s="7">
        <v>0</v>
      </c>
    </row>
    <row r="20" spans="1:7" x14ac:dyDescent="0.25">
      <c r="A20">
        <f>VLOOKUP(B20,'MONTH CONVERSION'!$A$2:$B$13,2,FALSE)</f>
        <v>1</v>
      </c>
      <c r="B20" t="s">
        <v>89</v>
      </c>
      <c r="C20" t="s">
        <v>106</v>
      </c>
      <c r="D20" t="s">
        <v>24</v>
      </c>
      <c r="E20" s="19">
        <v>15.93</v>
      </c>
      <c r="F20" s="7">
        <v>0</v>
      </c>
      <c r="G20" s="3"/>
    </row>
    <row r="21" spans="1:7" x14ac:dyDescent="0.25">
      <c r="A21">
        <f>VLOOKUP(B21,'MONTH CONVERSION'!$A$2:$B$13,2,FALSE)</f>
        <v>2</v>
      </c>
      <c r="B21" t="s">
        <v>35</v>
      </c>
      <c r="C21" t="s">
        <v>106</v>
      </c>
      <c r="D21" t="s">
        <v>11</v>
      </c>
      <c r="E21" s="19">
        <v>15.93</v>
      </c>
      <c r="F21" s="7">
        <v>0</v>
      </c>
    </row>
    <row r="22" spans="1:7" x14ac:dyDescent="0.25">
      <c r="A22">
        <f>VLOOKUP(B22,'MONTH CONVERSION'!$A$2:$B$13,2,FALSE)</f>
        <v>2</v>
      </c>
      <c r="B22" t="s">
        <v>35</v>
      </c>
      <c r="C22" t="s">
        <v>106</v>
      </c>
      <c r="D22" t="s">
        <v>11</v>
      </c>
      <c r="E22" s="19">
        <v>15.93</v>
      </c>
      <c r="F22" s="7">
        <v>0</v>
      </c>
    </row>
    <row r="23" spans="1:7" x14ac:dyDescent="0.25">
      <c r="A23">
        <f>VLOOKUP(B23,'MONTH CONVERSION'!$A$2:$B$13,2,FALSE)</f>
        <v>2</v>
      </c>
      <c r="B23" t="s">
        <v>35</v>
      </c>
      <c r="C23" t="s">
        <v>107</v>
      </c>
      <c r="D23" t="s">
        <v>12</v>
      </c>
      <c r="E23" s="19">
        <v>59</v>
      </c>
      <c r="F23" s="7">
        <v>0</v>
      </c>
    </row>
    <row r="24" spans="1:7" x14ac:dyDescent="0.25">
      <c r="A24">
        <f>VLOOKUP(B24,'MONTH CONVERSION'!$A$2:$B$13,2,FALSE)</f>
        <v>2</v>
      </c>
      <c r="B24" t="s">
        <v>35</v>
      </c>
      <c r="C24" t="s">
        <v>106</v>
      </c>
      <c r="D24" t="s">
        <v>12</v>
      </c>
      <c r="E24" s="19">
        <v>15.93</v>
      </c>
      <c r="F24" s="7">
        <v>0</v>
      </c>
    </row>
    <row r="25" spans="1:7" x14ac:dyDescent="0.25">
      <c r="A25">
        <f>VLOOKUP(B25,'MONTH CONVERSION'!$A$2:$B$13,2,FALSE)</f>
        <v>2</v>
      </c>
      <c r="B25" t="s">
        <v>35</v>
      </c>
      <c r="C25" t="s">
        <v>106</v>
      </c>
      <c r="D25" t="s">
        <v>13</v>
      </c>
      <c r="E25" s="19">
        <v>15.93</v>
      </c>
      <c r="F25" s="7">
        <v>0</v>
      </c>
    </row>
    <row r="26" spans="1:7" x14ac:dyDescent="0.25">
      <c r="A26">
        <f>VLOOKUP(B26,'MONTH CONVERSION'!$A$2:$B$13,2,FALSE)</f>
        <v>2</v>
      </c>
      <c r="B26" t="s">
        <v>35</v>
      </c>
      <c r="C26" t="s">
        <v>106</v>
      </c>
      <c r="D26" t="s">
        <v>13</v>
      </c>
      <c r="E26" s="19">
        <v>15.93</v>
      </c>
      <c r="F26" s="7">
        <v>0</v>
      </c>
    </row>
    <row r="27" spans="1:7" x14ac:dyDescent="0.25">
      <c r="A27">
        <f>VLOOKUP(B27,'MONTH CONVERSION'!$A$2:$B$13,2,FALSE)</f>
        <v>3</v>
      </c>
      <c r="B27" t="s">
        <v>90</v>
      </c>
      <c r="C27" s="22" t="s">
        <v>106</v>
      </c>
      <c r="D27" s="22" t="s">
        <v>36</v>
      </c>
      <c r="E27" s="20">
        <v>15.93</v>
      </c>
      <c r="F27" s="23">
        <v>0</v>
      </c>
    </row>
    <row r="28" spans="1:7" x14ac:dyDescent="0.25">
      <c r="A28">
        <f>VLOOKUP(B28,'MONTH CONVERSION'!$A$2:$B$13,2,FALSE)</f>
        <v>3</v>
      </c>
      <c r="B28" t="s">
        <v>90</v>
      </c>
      <c r="C28" s="22" t="s">
        <v>106</v>
      </c>
      <c r="D28" s="22" t="s">
        <v>36</v>
      </c>
      <c r="E28" s="20">
        <v>15.93</v>
      </c>
      <c r="F28" s="23">
        <v>0</v>
      </c>
    </row>
    <row r="29" spans="1:7" x14ac:dyDescent="0.25">
      <c r="A29">
        <f>VLOOKUP(B29,'MONTH CONVERSION'!$A$2:$B$13,2,FALSE)</f>
        <v>3</v>
      </c>
      <c r="B29" t="s">
        <v>90</v>
      </c>
      <c r="C29" s="22" t="s">
        <v>106</v>
      </c>
      <c r="D29" s="22" t="s">
        <v>36</v>
      </c>
      <c r="E29" s="20">
        <v>15.93</v>
      </c>
      <c r="F29" s="23">
        <v>0</v>
      </c>
    </row>
    <row r="30" spans="1:7" x14ac:dyDescent="0.25">
      <c r="A30">
        <f>VLOOKUP(B30,'MONTH CONVERSION'!$A$2:$B$13,2,FALSE)</f>
        <v>3</v>
      </c>
      <c r="B30" t="s">
        <v>90</v>
      </c>
      <c r="C30" s="22" t="s">
        <v>106</v>
      </c>
      <c r="D30" s="22" t="s">
        <v>37</v>
      </c>
      <c r="E30" s="20">
        <v>15.93</v>
      </c>
      <c r="F30" s="23">
        <v>0</v>
      </c>
    </row>
    <row r="31" spans="1:7" x14ac:dyDescent="0.25">
      <c r="A31">
        <f>VLOOKUP(B31,'MONTH CONVERSION'!$A$2:$B$13,2,FALSE)</f>
        <v>3</v>
      </c>
      <c r="B31" t="s">
        <v>90</v>
      </c>
      <c r="C31" s="22" t="s">
        <v>106</v>
      </c>
      <c r="D31" s="22" t="s">
        <v>38</v>
      </c>
      <c r="E31" s="20">
        <v>15.93</v>
      </c>
      <c r="F31" s="23">
        <v>0</v>
      </c>
    </row>
    <row r="32" spans="1:7" x14ac:dyDescent="0.25">
      <c r="A32">
        <f>VLOOKUP(B32,'MONTH CONVERSION'!$A$2:$B$13,2,FALSE)</f>
        <v>3</v>
      </c>
      <c r="B32" t="s">
        <v>90</v>
      </c>
      <c r="C32" s="22" t="s">
        <v>106</v>
      </c>
      <c r="D32" s="22" t="s">
        <v>38</v>
      </c>
      <c r="E32" s="20">
        <v>15.93</v>
      </c>
      <c r="F32" s="23">
        <v>0</v>
      </c>
    </row>
    <row r="33" spans="1:6" x14ac:dyDescent="0.25">
      <c r="A33">
        <f>VLOOKUP(B33,'MONTH CONVERSION'!$A$2:$B$13,2,FALSE)</f>
        <v>3</v>
      </c>
      <c r="B33" t="s">
        <v>90</v>
      </c>
      <c r="C33" s="22" t="s">
        <v>106</v>
      </c>
      <c r="D33" s="22" t="s">
        <v>39</v>
      </c>
      <c r="E33" s="20">
        <v>15.93</v>
      </c>
      <c r="F33" s="23">
        <v>0</v>
      </c>
    </row>
    <row r="34" spans="1:6" x14ac:dyDescent="0.25">
      <c r="A34">
        <f>VLOOKUP(B34,'MONTH CONVERSION'!$A$2:$B$13,2,FALSE)</f>
        <v>4</v>
      </c>
      <c r="B34" t="s">
        <v>91</v>
      </c>
      <c r="C34" s="26" t="s">
        <v>106</v>
      </c>
      <c r="D34" s="26" t="s">
        <v>40</v>
      </c>
      <c r="E34" s="20">
        <v>15.93</v>
      </c>
      <c r="F34" s="27">
        <v>0</v>
      </c>
    </row>
    <row r="35" spans="1:6" x14ac:dyDescent="0.25">
      <c r="A35">
        <f>VLOOKUP(B35,'MONTH CONVERSION'!$A$2:$B$13,2,FALSE)</f>
        <v>4</v>
      </c>
      <c r="B35" t="s">
        <v>91</v>
      </c>
      <c r="C35" s="26" t="s">
        <v>106</v>
      </c>
      <c r="D35" s="26" t="s">
        <v>40</v>
      </c>
      <c r="E35" s="20">
        <v>15.93</v>
      </c>
      <c r="F35" s="27">
        <v>0</v>
      </c>
    </row>
    <row r="36" spans="1:6" x14ac:dyDescent="0.25">
      <c r="A36">
        <f>VLOOKUP(B36,'MONTH CONVERSION'!$A$2:$B$13,2,FALSE)</f>
        <v>4</v>
      </c>
      <c r="B36" t="s">
        <v>91</v>
      </c>
      <c r="C36" s="26" t="s">
        <v>106</v>
      </c>
      <c r="D36" s="26" t="s">
        <v>41</v>
      </c>
      <c r="E36" s="20">
        <v>15.93</v>
      </c>
      <c r="F36" s="27">
        <v>0</v>
      </c>
    </row>
    <row r="37" spans="1:6" x14ac:dyDescent="0.25">
      <c r="A37">
        <f>VLOOKUP(B37,'MONTH CONVERSION'!$A$2:$B$13,2,FALSE)</f>
        <v>4</v>
      </c>
      <c r="B37" t="s">
        <v>91</v>
      </c>
      <c r="C37" s="26" t="s">
        <v>106</v>
      </c>
      <c r="D37" s="26" t="s">
        <v>42</v>
      </c>
      <c r="E37" s="20">
        <v>15.93</v>
      </c>
      <c r="F37" s="27">
        <v>0</v>
      </c>
    </row>
    <row r="38" spans="1:6" x14ac:dyDescent="0.25">
      <c r="A38">
        <f>VLOOKUP(B38,'MONTH CONVERSION'!$A$2:$B$13,2,FALSE)</f>
        <v>4</v>
      </c>
      <c r="B38" t="s">
        <v>91</v>
      </c>
      <c r="C38" s="26" t="s">
        <v>106</v>
      </c>
      <c r="D38" s="26" t="s">
        <v>42</v>
      </c>
      <c r="E38" s="20">
        <v>15.93</v>
      </c>
      <c r="F38" s="27">
        <v>0</v>
      </c>
    </row>
    <row r="39" spans="1:6" x14ac:dyDescent="0.25">
      <c r="A39">
        <f>VLOOKUP(B39,'MONTH CONVERSION'!$A$2:$B$13,2,FALSE)</f>
        <v>4</v>
      </c>
      <c r="B39" t="s">
        <v>91</v>
      </c>
      <c r="C39" s="26" t="s">
        <v>106</v>
      </c>
      <c r="D39" s="26" t="s">
        <v>42</v>
      </c>
      <c r="E39" s="20">
        <v>15.93</v>
      </c>
      <c r="F39" s="27">
        <v>0</v>
      </c>
    </row>
    <row r="40" spans="1:6" x14ac:dyDescent="0.25">
      <c r="A40">
        <f>VLOOKUP(B40,'MONTH CONVERSION'!$A$2:$B$13,2,FALSE)</f>
        <v>4</v>
      </c>
      <c r="B40" t="s">
        <v>91</v>
      </c>
      <c r="C40" s="26" t="s">
        <v>106</v>
      </c>
      <c r="D40" s="26" t="s">
        <v>43</v>
      </c>
      <c r="E40" s="20">
        <v>15.93</v>
      </c>
      <c r="F40" s="27">
        <v>0</v>
      </c>
    </row>
    <row r="41" spans="1:6" x14ac:dyDescent="0.25">
      <c r="A41">
        <f>VLOOKUP(B41,'MONTH CONVERSION'!$A$2:$B$13,2,FALSE)</f>
        <v>4</v>
      </c>
      <c r="B41" t="s">
        <v>91</v>
      </c>
      <c r="C41" s="26" t="s">
        <v>106</v>
      </c>
      <c r="D41" s="26" t="s">
        <v>44</v>
      </c>
      <c r="E41" s="20">
        <v>15.93</v>
      </c>
      <c r="F41" s="27">
        <v>0</v>
      </c>
    </row>
    <row r="42" spans="1:6" x14ac:dyDescent="0.25">
      <c r="A42">
        <f>VLOOKUP(B42,'MONTH CONVERSION'!$A$2:$B$13,2,FALSE)</f>
        <v>4</v>
      </c>
      <c r="B42" t="s">
        <v>91</v>
      </c>
      <c r="C42" s="26" t="s">
        <v>106</v>
      </c>
      <c r="D42" s="26" t="s">
        <v>45</v>
      </c>
      <c r="E42" s="20">
        <v>15.93</v>
      </c>
      <c r="F42" s="27">
        <v>0</v>
      </c>
    </row>
    <row r="43" spans="1:6" x14ac:dyDescent="0.25">
      <c r="A43">
        <f>VLOOKUP(B43,'MONTH CONVERSION'!$A$2:$B$13,2,FALSE)</f>
        <v>4</v>
      </c>
      <c r="B43" t="s">
        <v>91</v>
      </c>
      <c r="C43" s="26" t="s">
        <v>106</v>
      </c>
      <c r="D43" s="26" t="s">
        <v>45</v>
      </c>
      <c r="E43" s="20">
        <v>15.93</v>
      </c>
      <c r="F43" s="27">
        <v>0</v>
      </c>
    </row>
    <row r="44" spans="1:6" x14ac:dyDescent="0.25">
      <c r="A44">
        <f>VLOOKUP(B44,'MONTH CONVERSION'!$A$2:$B$13,2,FALSE)</f>
        <v>4</v>
      </c>
      <c r="B44" t="s">
        <v>91</v>
      </c>
      <c r="C44" s="26" t="s">
        <v>106</v>
      </c>
      <c r="D44" s="26" t="s">
        <v>45</v>
      </c>
      <c r="E44" s="20">
        <v>15.93</v>
      </c>
      <c r="F44" s="27">
        <v>0</v>
      </c>
    </row>
    <row r="45" spans="1:6" x14ac:dyDescent="0.25">
      <c r="A45">
        <f>VLOOKUP(B45,'MONTH CONVERSION'!$A$2:$B$13,2,FALSE)</f>
        <v>4</v>
      </c>
      <c r="B45" t="s">
        <v>91</v>
      </c>
      <c r="C45" s="26" t="s">
        <v>106</v>
      </c>
      <c r="D45" s="26" t="s">
        <v>45</v>
      </c>
      <c r="E45" s="20">
        <v>15.93</v>
      </c>
      <c r="F45" s="27">
        <v>0</v>
      </c>
    </row>
    <row r="46" spans="1:6" x14ac:dyDescent="0.25">
      <c r="A46">
        <f>VLOOKUP(B46,'MONTH CONVERSION'!$A$2:$B$13,2,FALSE)</f>
        <v>4</v>
      </c>
      <c r="B46" t="s">
        <v>91</v>
      </c>
      <c r="C46" s="26" t="s">
        <v>106</v>
      </c>
      <c r="D46" s="26" t="s">
        <v>46</v>
      </c>
      <c r="E46" s="20">
        <v>15.93</v>
      </c>
      <c r="F46" s="27">
        <v>0</v>
      </c>
    </row>
    <row r="47" spans="1:6" x14ac:dyDescent="0.25">
      <c r="A47">
        <f>VLOOKUP(B47,'MONTH CONVERSION'!$A$2:$B$13,2,FALSE)</f>
        <v>4</v>
      </c>
      <c r="B47" t="s">
        <v>91</v>
      </c>
      <c r="C47" s="26" t="s">
        <v>106</v>
      </c>
      <c r="D47" s="26" t="s">
        <v>46</v>
      </c>
      <c r="E47" s="20">
        <v>15.93</v>
      </c>
      <c r="F47" s="27">
        <v>0</v>
      </c>
    </row>
    <row r="48" spans="1:6" x14ac:dyDescent="0.25">
      <c r="A48">
        <f>VLOOKUP(B48,'MONTH CONVERSION'!$A$2:$B$13,2,FALSE)</f>
        <v>4</v>
      </c>
      <c r="B48" t="s">
        <v>91</v>
      </c>
      <c r="C48" s="26" t="s">
        <v>106</v>
      </c>
      <c r="D48" s="26" t="s">
        <v>47</v>
      </c>
      <c r="E48" s="20">
        <v>15.93</v>
      </c>
      <c r="F48" s="27">
        <v>0</v>
      </c>
    </row>
    <row r="49" spans="1:6" x14ac:dyDescent="0.25">
      <c r="A49">
        <f>VLOOKUP(B49,'MONTH CONVERSION'!$A$2:$B$13,2,FALSE)</f>
        <v>4</v>
      </c>
      <c r="B49" t="s">
        <v>91</v>
      </c>
      <c r="C49" s="26" t="s">
        <v>106</v>
      </c>
      <c r="D49" s="26" t="s">
        <v>47</v>
      </c>
      <c r="E49" s="20">
        <v>15.93</v>
      </c>
      <c r="F49" s="27">
        <v>0</v>
      </c>
    </row>
    <row r="50" spans="1:6" x14ac:dyDescent="0.25">
      <c r="A50">
        <f>VLOOKUP(B50,'MONTH CONVERSION'!$A$2:$B$13,2,FALSE)</f>
        <v>4</v>
      </c>
      <c r="B50" t="s">
        <v>91</v>
      </c>
      <c r="C50" s="26" t="s">
        <v>106</v>
      </c>
      <c r="D50" s="26" t="s">
        <v>48</v>
      </c>
      <c r="E50" s="20">
        <v>15.93</v>
      </c>
      <c r="F50" s="27">
        <v>0</v>
      </c>
    </row>
    <row r="51" spans="1:6" x14ac:dyDescent="0.25">
      <c r="A51">
        <f>VLOOKUP(B51,'MONTH CONVERSION'!$A$2:$B$13,2,FALSE)</f>
        <v>4</v>
      </c>
      <c r="B51" t="s">
        <v>91</v>
      </c>
      <c r="C51" s="26" t="s">
        <v>106</v>
      </c>
      <c r="D51" s="26" t="s">
        <v>48</v>
      </c>
      <c r="E51" s="20">
        <v>15.93</v>
      </c>
      <c r="F51" s="27">
        <v>0</v>
      </c>
    </row>
    <row r="52" spans="1:6" x14ac:dyDescent="0.25">
      <c r="A52">
        <f>VLOOKUP(B52,'MONTH CONVERSION'!$A$2:$B$13,2,FALSE)</f>
        <v>5</v>
      </c>
      <c r="B52" t="s">
        <v>77</v>
      </c>
      <c r="C52" s="30" t="s">
        <v>106</v>
      </c>
      <c r="D52" s="30" t="s">
        <v>49</v>
      </c>
      <c r="E52" s="20">
        <v>15.93</v>
      </c>
      <c r="F52" s="31">
        <v>0</v>
      </c>
    </row>
    <row r="53" spans="1:6" x14ac:dyDescent="0.25">
      <c r="A53">
        <f>VLOOKUP(B53,'MONTH CONVERSION'!$A$2:$B$13,2,FALSE)</f>
        <v>5</v>
      </c>
      <c r="B53" t="s">
        <v>77</v>
      </c>
      <c r="C53" s="30" t="s">
        <v>106</v>
      </c>
      <c r="D53" s="30" t="s">
        <v>50</v>
      </c>
      <c r="E53" s="20">
        <v>15.93</v>
      </c>
      <c r="F53" s="31">
        <v>0</v>
      </c>
    </row>
    <row r="54" spans="1:6" x14ac:dyDescent="0.25">
      <c r="A54">
        <f>VLOOKUP(B54,'MONTH CONVERSION'!$A$2:$B$13,2,FALSE)</f>
        <v>5</v>
      </c>
      <c r="B54" t="s">
        <v>77</v>
      </c>
      <c r="C54" s="30" t="s">
        <v>106</v>
      </c>
      <c r="D54" s="30" t="s">
        <v>51</v>
      </c>
      <c r="E54" s="20">
        <v>15.93</v>
      </c>
      <c r="F54" s="31">
        <v>0</v>
      </c>
    </row>
    <row r="55" spans="1:6" x14ac:dyDescent="0.25">
      <c r="A55">
        <f>VLOOKUP(B55,'MONTH CONVERSION'!$A$2:$B$13,2,FALSE)</f>
        <v>5</v>
      </c>
      <c r="B55" t="s">
        <v>77</v>
      </c>
      <c r="C55" s="30" t="s">
        <v>106</v>
      </c>
      <c r="D55" s="30" t="s">
        <v>52</v>
      </c>
      <c r="E55" s="20">
        <v>15.93</v>
      </c>
      <c r="F55" s="31">
        <v>0</v>
      </c>
    </row>
    <row r="56" spans="1:6" x14ac:dyDescent="0.25">
      <c r="A56">
        <f>VLOOKUP(B56,'MONTH CONVERSION'!$A$2:$B$13,2,FALSE)</f>
        <v>5</v>
      </c>
      <c r="B56" t="s">
        <v>77</v>
      </c>
      <c r="C56" s="30" t="s">
        <v>106</v>
      </c>
      <c r="D56" s="30" t="s">
        <v>52</v>
      </c>
      <c r="E56" s="20">
        <v>15.93</v>
      </c>
      <c r="F56" s="31">
        <v>0</v>
      </c>
    </row>
    <row r="57" spans="1:6" x14ac:dyDescent="0.25">
      <c r="A57">
        <f>VLOOKUP(B57,'MONTH CONVERSION'!$A$2:$B$13,2,FALSE)</f>
        <v>5</v>
      </c>
      <c r="B57" t="s">
        <v>77</v>
      </c>
      <c r="C57" s="30" t="s">
        <v>106</v>
      </c>
      <c r="D57" s="30" t="s">
        <v>52</v>
      </c>
      <c r="E57" s="20">
        <v>15.93</v>
      </c>
      <c r="F57" s="31">
        <v>0</v>
      </c>
    </row>
    <row r="58" spans="1:6" x14ac:dyDescent="0.25">
      <c r="A58">
        <f>VLOOKUP(B58,'MONTH CONVERSION'!$A$2:$B$13,2,FALSE)</f>
        <v>5</v>
      </c>
      <c r="B58" t="s">
        <v>77</v>
      </c>
      <c r="C58" s="30" t="s">
        <v>106</v>
      </c>
      <c r="D58" s="30" t="s">
        <v>53</v>
      </c>
      <c r="E58" s="20">
        <v>15.93</v>
      </c>
      <c r="F58" s="31">
        <v>0</v>
      </c>
    </row>
    <row r="59" spans="1:6" x14ac:dyDescent="0.25">
      <c r="A59">
        <f>VLOOKUP(B59,'MONTH CONVERSION'!$A$2:$B$13,2,FALSE)</f>
        <v>5</v>
      </c>
      <c r="B59" t="s">
        <v>77</v>
      </c>
      <c r="C59" s="30" t="s">
        <v>106</v>
      </c>
      <c r="D59" s="30" t="s">
        <v>53</v>
      </c>
      <c r="E59" s="20">
        <v>15.93</v>
      </c>
      <c r="F59" s="31">
        <v>0</v>
      </c>
    </row>
    <row r="60" spans="1:6" x14ac:dyDescent="0.25">
      <c r="A60">
        <f>VLOOKUP(B60,'MONTH CONVERSION'!$A$2:$B$13,2,FALSE)</f>
        <v>5</v>
      </c>
      <c r="B60" t="s">
        <v>77</v>
      </c>
      <c r="C60" s="30" t="s">
        <v>106</v>
      </c>
      <c r="D60" s="30" t="s">
        <v>54</v>
      </c>
      <c r="E60" s="20">
        <v>15.93</v>
      </c>
      <c r="F60" s="31">
        <v>0</v>
      </c>
    </row>
    <row r="61" spans="1:6" x14ac:dyDescent="0.25">
      <c r="A61">
        <f>VLOOKUP(B61,'MONTH CONVERSION'!$A$2:$B$13,2,FALSE)</f>
        <v>5</v>
      </c>
      <c r="B61" t="s">
        <v>77</v>
      </c>
      <c r="C61" s="30" t="s">
        <v>106</v>
      </c>
      <c r="D61" s="30" t="s">
        <v>55</v>
      </c>
      <c r="E61" s="20">
        <v>15.93</v>
      </c>
      <c r="F61" s="31">
        <v>0</v>
      </c>
    </row>
    <row r="62" spans="1:6" x14ac:dyDescent="0.25">
      <c r="A62">
        <f>VLOOKUP(B62,'MONTH CONVERSION'!$A$2:$B$13,2,FALSE)</f>
        <v>5</v>
      </c>
      <c r="B62" t="s">
        <v>77</v>
      </c>
      <c r="C62" s="30" t="s">
        <v>106</v>
      </c>
      <c r="D62" s="30" t="s">
        <v>55</v>
      </c>
      <c r="E62" s="20">
        <v>15.93</v>
      </c>
      <c r="F62" s="31">
        <v>0</v>
      </c>
    </row>
    <row r="63" spans="1:6" x14ac:dyDescent="0.25">
      <c r="A63">
        <f>VLOOKUP(B63,'MONTH CONVERSION'!$A$2:$B$13,2,FALSE)</f>
        <v>6</v>
      </c>
      <c r="B63" t="s">
        <v>96</v>
      </c>
      <c r="C63" s="34" t="s">
        <v>106</v>
      </c>
      <c r="D63" s="34" t="s">
        <v>56</v>
      </c>
      <c r="E63" s="20">
        <v>15.045</v>
      </c>
      <c r="F63" s="35">
        <v>0</v>
      </c>
    </row>
    <row r="64" spans="1:6" x14ac:dyDescent="0.25">
      <c r="A64">
        <f>VLOOKUP(B64,'MONTH CONVERSION'!$A$2:$B$13,2,FALSE)</f>
        <v>6</v>
      </c>
      <c r="B64" t="s">
        <v>96</v>
      </c>
      <c r="C64" s="34" t="s">
        <v>106</v>
      </c>
      <c r="D64" s="34" t="s">
        <v>56</v>
      </c>
      <c r="E64" s="20">
        <v>15.045</v>
      </c>
      <c r="F64" s="35">
        <v>0</v>
      </c>
    </row>
    <row r="65" spans="1:6" x14ac:dyDescent="0.25">
      <c r="A65">
        <f>VLOOKUP(B65,'MONTH CONVERSION'!$A$2:$B$13,2,FALSE)</f>
        <v>6</v>
      </c>
      <c r="B65" t="s">
        <v>96</v>
      </c>
      <c r="C65" s="34" t="s">
        <v>106</v>
      </c>
      <c r="D65" s="34" t="s">
        <v>56</v>
      </c>
      <c r="E65" s="20">
        <v>15.045</v>
      </c>
      <c r="F65" s="35">
        <v>0</v>
      </c>
    </row>
    <row r="66" spans="1:6" x14ac:dyDescent="0.25">
      <c r="A66">
        <f>VLOOKUP(B66,'MONTH CONVERSION'!$A$2:$B$13,2,FALSE)</f>
        <v>6</v>
      </c>
      <c r="B66" t="s">
        <v>96</v>
      </c>
      <c r="C66" s="34" t="s">
        <v>108</v>
      </c>
      <c r="D66" s="34" t="s">
        <v>56</v>
      </c>
      <c r="E66" s="20">
        <v>118</v>
      </c>
      <c r="F66" s="35">
        <v>0</v>
      </c>
    </row>
    <row r="67" spans="1:6" x14ac:dyDescent="0.25">
      <c r="A67">
        <f>VLOOKUP(B67,'MONTH CONVERSION'!$A$2:$B$13,2,FALSE)</f>
        <v>6</v>
      </c>
      <c r="B67" t="s">
        <v>96</v>
      </c>
      <c r="C67" s="34" t="s">
        <v>106</v>
      </c>
      <c r="D67" s="34" t="s">
        <v>57</v>
      </c>
      <c r="E67" s="20">
        <v>15.045</v>
      </c>
      <c r="F67" s="35">
        <v>0</v>
      </c>
    </row>
    <row r="68" spans="1:6" x14ac:dyDescent="0.25">
      <c r="A68">
        <f>VLOOKUP(B68,'MONTH CONVERSION'!$A$2:$B$13,2,FALSE)</f>
        <v>6</v>
      </c>
      <c r="B68" t="s">
        <v>96</v>
      </c>
      <c r="C68" s="34" t="s">
        <v>106</v>
      </c>
      <c r="D68" s="34" t="s">
        <v>57</v>
      </c>
      <c r="E68" s="20">
        <v>15.045</v>
      </c>
      <c r="F68" s="35">
        <v>0</v>
      </c>
    </row>
    <row r="69" spans="1:6" x14ac:dyDescent="0.25">
      <c r="A69">
        <f>VLOOKUP(B69,'MONTH CONVERSION'!$A$2:$B$13,2,FALSE)</f>
        <v>6</v>
      </c>
      <c r="B69" t="s">
        <v>96</v>
      </c>
      <c r="C69" s="34" t="s">
        <v>106</v>
      </c>
      <c r="D69" s="34" t="s">
        <v>57</v>
      </c>
      <c r="E69" s="20">
        <v>15.045</v>
      </c>
      <c r="F69" s="35">
        <v>0</v>
      </c>
    </row>
    <row r="70" spans="1:6" x14ac:dyDescent="0.25">
      <c r="A70">
        <f>VLOOKUP(B70,'MONTH CONVERSION'!$A$2:$B$13,2,FALSE)</f>
        <v>6</v>
      </c>
      <c r="B70" t="s">
        <v>96</v>
      </c>
      <c r="C70" s="34" t="s">
        <v>106</v>
      </c>
      <c r="D70" s="34" t="s">
        <v>57</v>
      </c>
      <c r="E70" s="20">
        <v>15.045</v>
      </c>
      <c r="F70" s="35">
        <v>0</v>
      </c>
    </row>
    <row r="71" spans="1:6" x14ac:dyDescent="0.25">
      <c r="A71">
        <f>VLOOKUP(B71,'MONTH CONVERSION'!$A$2:$B$13,2,FALSE)</f>
        <v>6</v>
      </c>
      <c r="B71" t="s">
        <v>96</v>
      </c>
      <c r="C71" s="34" t="s">
        <v>106</v>
      </c>
      <c r="D71" s="34" t="s">
        <v>58</v>
      </c>
      <c r="E71" s="20">
        <v>15.045</v>
      </c>
      <c r="F71" s="35">
        <v>0</v>
      </c>
    </row>
    <row r="72" spans="1:6" x14ac:dyDescent="0.25">
      <c r="A72">
        <f>VLOOKUP(B72,'MONTH CONVERSION'!$A$2:$B$13,2,FALSE)</f>
        <v>6</v>
      </c>
      <c r="B72" t="s">
        <v>96</v>
      </c>
      <c r="C72" s="34" t="s">
        <v>106</v>
      </c>
      <c r="D72" s="34" t="s">
        <v>58</v>
      </c>
      <c r="E72" s="20">
        <v>15.045</v>
      </c>
      <c r="F72" s="35">
        <v>0</v>
      </c>
    </row>
    <row r="73" spans="1:6" x14ac:dyDescent="0.25">
      <c r="A73">
        <f>VLOOKUP(B73,'MONTH CONVERSION'!$A$2:$B$13,2,FALSE)</f>
        <v>6</v>
      </c>
      <c r="B73" t="s">
        <v>96</v>
      </c>
      <c r="C73" s="34" t="s">
        <v>106</v>
      </c>
      <c r="D73" s="34" t="s">
        <v>58</v>
      </c>
      <c r="E73" s="20">
        <v>15.045</v>
      </c>
      <c r="F73" s="35">
        <v>0</v>
      </c>
    </row>
    <row r="74" spans="1:6" x14ac:dyDescent="0.25">
      <c r="A74">
        <f>VLOOKUP(B74,'MONTH CONVERSION'!$A$2:$B$13,2,FALSE)</f>
        <v>6</v>
      </c>
      <c r="B74" t="s">
        <v>96</v>
      </c>
      <c r="C74" s="34" t="s">
        <v>106</v>
      </c>
      <c r="D74" s="34" t="s">
        <v>59</v>
      </c>
      <c r="E74" s="20">
        <v>15.045</v>
      </c>
      <c r="F74" s="35">
        <v>0</v>
      </c>
    </row>
    <row r="75" spans="1:6" x14ac:dyDescent="0.25">
      <c r="A75">
        <f>VLOOKUP(B75,'MONTH CONVERSION'!$A$2:$B$13,2,FALSE)</f>
        <v>6</v>
      </c>
      <c r="B75" t="s">
        <v>96</v>
      </c>
      <c r="C75" s="34" t="s">
        <v>106</v>
      </c>
      <c r="D75" s="34" t="s">
        <v>59</v>
      </c>
      <c r="E75" s="20">
        <v>15.045</v>
      </c>
      <c r="F75" s="35">
        <v>0</v>
      </c>
    </row>
    <row r="76" spans="1:6" x14ac:dyDescent="0.25">
      <c r="A76">
        <f>VLOOKUP(B76,'MONTH CONVERSION'!$A$2:$B$13,2,FALSE)</f>
        <v>6</v>
      </c>
      <c r="B76" t="s">
        <v>96</v>
      </c>
      <c r="C76" s="34" t="s">
        <v>106</v>
      </c>
      <c r="D76" s="34" t="s">
        <v>60</v>
      </c>
      <c r="E76" s="20">
        <v>15.045</v>
      </c>
      <c r="F76" s="35">
        <v>0</v>
      </c>
    </row>
    <row r="77" spans="1:6" x14ac:dyDescent="0.25">
      <c r="A77">
        <f>VLOOKUP(B77,'MONTH CONVERSION'!$A$2:$B$13,2,FALSE)</f>
        <v>6</v>
      </c>
      <c r="B77" t="s">
        <v>96</v>
      </c>
      <c r="C77" s="34" t="s">
        <v>106</v>
      </c>
      <c r="D77" s="34" t="s">
        <v>60</v>
      </c>
      <c r="E77" s="20">
        <v>15.045</v>
      </c>
      <c r="F77" s="35">
        <v>0</v>
      </c>
    </row>
    <row r="78" spans="1:6" x14ac:dyDescent="0.25">
      <c r="A78">
        <f>VLOOKUP(B78,'MONTH CONVERSION'!$A$2:$B$13,2,FALSE)</f>
        <v>6</v>
      </c>
      <c r="B78" t="s">
        <v>96</v>
      </c>
      <c r="C78" s="34" t="s">
        <v>106</v>
      </c>
      <c r="D78" s="34" t="s">
        <v>61</v>
      </c>
      <c r="E78" s="20">
        <v>15.045</v>
      </c>
      <c r="F78" s="35">
        <v>0</v>
      </c>
    </row>
    <row r="79" spans="1:6" x14ac:dyDescent="0.25">
      <c r="A79">
        <f>VLOOKUP(B79,'MONTH CONVERSION'!$A$2:$B$13,2,FALSE)</f>
        <v>6</v>
      </c>
      <c r="B79" t="s">
        <v>96</v>
      </c>
      <c r="C79" s="34" t="s">
        <v>106</v>
      </c>
      <c r="D79" s="34" t="s">
        <v>62</v>
      </c>
      <c r="E79" s="20">
        <v>15.045</v>
      </c>
      <c r="F79" s="35">
        <v>0</v>
      </c>
    </row>
    <row r="80" spans="1:6" x14ac:dyDescent="0.25">
      <c r="A80">
        <f>VLOOKUP(B80,'MONTH CONVERSION'!$A$2:$B$13,2,FALSE)</f>
        <v>6</v>
      </c>
      <c r="B80" t="s">
        <v>96</v>
      </c>
      <c r="C80" s="34" t="s">
        <v>106</v>
      </c>
      <c r="D80" s="34" t="s">
        <v>62</v>
      </c>
      <c r="E80" s="20">
        <v>15.045</v>
      </c>
      <c r="F80" s="35">
        <v>0</v>
      </c>
    </row>
    <row r="81" spans="1:6" x14ac:dyDescent="0.25">
      <c r="A81">
        <f>VLOOKUP(B81,'MONTH CONVERSION'!$A$2:$B$13,2,FALSE)</f>
        <v>6</v>
      </c>
      <c r="B81" t="s">
        <v>96</v>
      </c>
      <c r="C81" s="34" t="s">
        <v>106</v>
      </c>
      <c r="D81" s="34" t="s">
        <v>63</v>
      </c>
      <c r="E81" s="20">
        <v>15.045</v>
      </c>
      <c r="F81" s="35">
        <v>0</v>
      </c>
    </row>
    <row r="82" spans="1:6" x14ac:dyDescent="0.25">
      <c r="A82">
        <f>VLOOKUP(B82,'MONTH CONVERSION'!$A$2:$B$13,2,FALSE)</f>
        <v>6</v>
      </c>
      <c r="B82" t="s">
        <v>96</v>
      </c>
      <c r="C82" s="34" t="s">
        <v>106</v>
      </c>
      <c r="D82" s="34" t="s">
        <v>64</v>
      </c>
      <c r="E82" s="20">
        <v>15.045</v>
      </c>
      <c r="F82" s="35">
        <v>0</v>
      </c>
    </row>
    <row r="83" spans="1:6" x14ac:dyDescent="0.25">
      <c r="A83">
        <f>VLOOKUP(B83,'MONTH CONVERSION'!$A$2:$B$13,2,FALSE)</f>
        <v>6</v>
      </c>
      <c r="B83" t="s">
        <v>96</v>
      </c>
      <c r="C83" s="34" t="s">
        <v>106</v>
      </c>
      <c r="D83" s="34" t="s">
        <v>64</v>
      </c>
      <c r="E83" s="20">
        <v>15.045</v>
      </c>
      <c r="F83" s="35">
        <v>0</v>
      </c>
    </row>
    <row r="84" spans="1:6" x14ac:dyDescent="0.25">
      <c r="A84">
        <f>VLOOKUP(B84,'MONTH CONVERSION'!$A$2:$B$13,2,FALSE)</f>
        <v>6</v>
      </c>
      <c r="B84" t="s">
        <v>96</v>
      </c>
      <c r="C84" s="34" t="s">
        <v>106</v>
      </c>
      <c r="D84" s="34" t="s">
        <v>65</v>
      </c>
      <c r="E84" s="20">
        <v>15.045</v>
      </c>
      <c r="F84" s="35">
        <v>0</v>
      </c>
    </row>
    <row r="85" spans="1:6" x14ac:dyDescent="0.25">
      <c r="A85">
        <f>VLOOKUP(B85,'MONTH CONVERSION'!$A$2:$B$13,2,FALSE)</f>
        <v>6</v>
      </c>
      <c r="B85" t="s">
        <v>96</v>
      </c>
      <c r="C85" s="34" t="s">
        <v>106</v>
      </c>
      <c r="D85" s="34" t="s">
        <v>66</v>
      </c>
      <c r="E85" s="20">
        <v>15.045</v>
      </c>
      <c r="F85" s="35">
        <v>0</v>
      </c>
    </row>
    <row r="86" spans="1:6" x14ac:dyDescent="0.25">
      <c r="A86">
        <f>VLOOKUP(B86,'MONTH CONVERSION'!$A$2:$B$13,2,FALSE)</f>
        <v>6</v>
      </c>
      <c r="B86" t="s">
        <v>96</v>
      </c>
      <c r="C86" s="34" t="s">
        <v>106</v>
      </c>
      <c r="D86" s="34" t="s">
        <v>66</v>
      </c>
      <c r="E86" s="20">
        <v>15.045</v>
      </c>
      <c r="F86" s="35">
        <v>0</v>
      </c>
    </row>
    <row r="87" spans="1:6" x14ac:dyDescent="0.25">
      <c r="A87">
        <f>VLOOKUP(B87,'MONTH CONVERSION'!$A$2:$B$13,2,FALSE)</f>
        <v>6</v>
      </c>
      <c r="B87" t="s">
        <v>96</v>
      </c>
      <c r="C87" s="34" t="s">
        <v>106</v>
      </c>
      <c r="D87" s="34" t="s">
        <v>66</v>
      </c>
      <c r="E87" s="20">
        <v>15.045</v>
      </c>
      <c r="F87" s="35">
        <v>0</v>
      </c>
    </row>
    <row r="88" spans="1:6" x14ac:dyDescent="0.25">
      <c r="A88">
        <f>VLOOKUP(B88,'MONTH CONVERSION'!$A$2:$B$13,2,FALSE)</f>
        <v>6</v>
      </c>
      <c r="B88" t="s">
        <v>96</v>
      </c>
      <c r="C88" s="34" t="s">
        <v>106</v>
      </c>
      <c r="D88" s="34" t="s">
        <v>66</v>
      </c>
      <c r="E88" s="20">
        <v>15.045</v>
      </c>
      <c r="F88" s="35">
        <v>0</v>
      </c>
    </row>
    <row r="89" spans="1:6" x14ac:dyDescent="0.25">
      <c r="A89">
        <f>VLOOKUP(B89,'MONTH CONVERSION'!$A$2:$B$13,2,FALSE)</f>
        <v>6</v>
      </c>
      <c r="B89" t="s">
        <v>96</v>
      </c>
      <c r="C89" s="34" t="s">
        <v>106</v>
      </c>
      <c r="D89" s="34" t="s">
        <v>67</v>
      </c>
      <c r="E89" s="20">
        <v>15.045</v>
      </c>
      <c r="F89" s="35">
        <v>0</v>
      </c>
    </row>
    <row r="90" spans="1:6" x14ac:dyDescent="0.25">
      <c r="A90">
        <f>VLOOKUP(B90,'MONTH CONVERSION'!$A$2:$B$13,2,FALSE)</f>
        <v>6</v>
      </c>
      <c r="B90" t="s">
        <v>96</v>
      </c>
      <c r="C90" s="34" t="s">
        <v>106</v>
      </c>
      <c r="D90" s="34" t="s">
        <v>67</v>
      </c>
      <c r="E90" s="20">
        <v>15.045</v>
      </c>
      <c r="F90" s="35">
        <v>0</v>
      </c>
    </row>
    <row r="91" spans="1:6" x14ac:dyDescent="0.25">
      <c r="A91">
        <f>VLOOKUP(B91,'MONTH CONVERSION'!$A$2:$B$13,2,FALSE)</f>
        <v>6</v>
      </c>
      <c r="B91" t="s">
        <v>96</v>
      </c>
      <c r="C91" s="34" t="s">
        <v>106</v>
      </c>
      <c r="D91" s="34" t="s">
        <v>68</v>
      </c>
      <c r="E91" s="20">
        <v>15.045</v>
      </c>
      <c r="F91" s="35">
        <v>0</v>
      </c>
    </row>
    <row r="92" spans="1:6" x14ac:dyDescent="0.25">
      <c r="A92">
        <f>VLOOKUP(B92,'MONTH CONVERSION'!$A$2:$B$13,2,FALSE)</f>
        <v>6</v>
      </c>
      <c r="B92" t="s">
        <v>96</v>
      </c>
      <c r="C92" s="34" t="s">
        <v>106</v>
      </c>
      <c r="D92" s="34" t="s">
        <v>69</v>
      </c>
      <c r="E92" s="20">
        <v>15.045</v>
      </c>
      <c r="F92" s="35">
        <v>0</v>
      </c>
    </row>
    <row r="93" spans="1:6" x14ac:dyDescent="0.25">
      <c r="A93">
        <f>VLOOKUP(B93,'MONTH CONVERSION'!$A$2:$B$13,2,FALSE)</f>
        <v>7</v>
      </c>
      <c r="B93" t="s">
        <v>97</v>
      </c>
      <c r="C93" s="38" t="s">
        <v>106</v>
      </c>
      <c r="D93" s="38" t="s">
        <v>70</v>
      </c>
      <c r="E93" s="20">
        <v>15.045</v>
      </c>
      <c r="F93" s="39">
        <v>0</v>
      </c>
    </row>
    <row r="94" spans="1:6" x14ac:dyDescent="0.25">
      <c r="A94">
        <f>VLOOKUP(B94,'MONTH CONVERSION'!$A$2:$B$13,2,FALSE)</f>
        <v>7</v>
      </c>
      <c r="B94" t="s">
        <v>97</v>
      </c>
      <c r="C94" s="38" t="s">
        <v>106</v>
      </c>
      <c r="D94" s="38" t="s">
        <v>70</v>
      </c>
      <c r="E94" s="20">
        <v>15.045</v>
      </c>
      <c r="F94" s="39">
        <v>0</v>
      </c>
    </row>
    <row r="95" spans="1:6" x14ac:dyDescent="0.25">
      <c r="A95">
        <f>VLOOKUP(B95,'MONTH CONVERSION'!$A$2:$B$13,2,FALSE)</f>
        <v>7</v>
      </c>
      <c r="B95" t="s">
        <v>97</v>
      </c>
      <c r="C95" s="38" t="s">
        <v>106</v>
      </c>
      <c r="D95" s="38" t="s">
        <v>71</v>
      </c>
      <c r="E95" s="20">
        <v>15.045</v>
      </c>
      <c r="F95" s="39">
        <v>0</v>
      </c>
    </row>
    <row r="96" spans="1:6" x14ac:dyDescent="0.25">
      <c r="A96">
        <f>VLOOKUP(B96,'MONTH CONVERSION'!$A$2:$B$13,2,FALSE)</f>
        <v>7</v>
      </c>
      <c r="B96" t="s">
        <v>97</v>
      </c>
      <c r="C96" s="38" t="s">
        <v>106</v>
      </c>
      <c r="D96" s="38" t="s">
        <v>71</v>
      </c>
      <c r="E96" s="20">
        <v>15.045</v>
      </c>
      <c r="F96" s="39">
        <v>0</v>
      </c>
    </row>
    <row r="97" spans="1:6" x14ac:dyDescent="0.25">
      <c r="A97">
        <f>VLOOKUP(B97,'MONTH CONVERSION'!$A$2:$B$13,2,FALSE)</f>
        <v>7</v>
      </c>
      <c r="B97" t="s">
        <v>97</v>
      </c>
      <c r="C97" s="38" t="s">
        <v>106</v>
      </c>
      <c r="D97" s="38" t="s">
        <v>72</v>
      </c>
      <c r="E97" s="20">
        <v>15.045</v>
      </c>
      <c r="F97" s="39">
        <v>0</v>
      </c>
    </row>
    <row r="98" spans="1:6" x14ac:dyDescent="0.25">
      <c r="A98">
        <f>VLOOKUP(B98,'MONTH CONVERSION'!$A$2:$B$13,2,FALSE)</f>
        <v>7</v>
      </c>
      <c r="B98" t="s">
        <v>97</v>
      </c>
      <c r="C98" s="38" t="s">
        <v>106</v>
      </c>
      <c r="D98" s="38" t="s">
        <v>73</v>
      </c>
      <c r="E98" s="20">
        <v>15.045</v>
      </c>
      <c r="F98" s="39">
        <v>0</v>
      </c>
    </row>
    <row r="99" spans="1:6" x14ac:dyDescent="0.25">
      <c r="A99">
        <f>VLOOKUP(B99,'MONTH CONVERSION'!$A$2:$B$13,2,FALSE)</f>
        <v>7</v>
      </c>
      <c r="B99" t="s">
        <v>97</v>
      </c>
      <c r="C99" s="38" t="s">
        <v>106</v>
      </c>
      <c r="D99" s="38" t="s">
        <v>74</v>
      </c>
      <c r="E99" s="20">
        <v>15.045</v>
      </c>
      <c r="F99" s="39">
        <v>0</v>
      </c>
    </row>
    <row r="100" spans="1:6" x14ac:dyDescent="0.25">
      <c r="A100">
        <f>VLOOKUP(B100,'MONTH CONVERSION'!$A$2:$B$13,2,FALSE)</f>
        <v>8</v>
      </c>
      <c r="B100" t="s">
        <v>92</v>
      </c>
      <c r="C100" s="41" t="s">
        <v>106</v>
      </c>
      <c r="D100" s="41" t="s">
        <v>75</v>
      </c>
      <c r="E100" s="20">
        <v>15.045</v>
      </c>
      <c r="F100" s="42">
        <v>0</v>
      </c>
    </row>
    <row r="101" spans="1:6" x14ac:dyDescent="0.25">
      <c r="A101">
        <f>VLOOKUP(B101,'MONTH CONVERSION'!$A$2:$B$13,2,FALSE)</f>
        <v>8</v>
      </c>
      <c r="B101" t="s">
        <v>92</v>
      </c>
      <c r="C101" s="41" t="s">
        <v>105</v>
      </c>
      <c r="D101" s="41" t="s">
        <v>76</v>
      </c>
      <c r="E101" s="20">
        <v>88.5</v>
      </c>
      <c r="F101" s="42">
        <v>0</v>
      </c>
    </row>
    <row r="102" spans="1:6" x14ac:dyDescent="0.25">
      <c r="A102">
        <f>VLOOKUP(B102,'MONTH CONVERSION'!$A$2:$B$13,2,FALSE)</f>
        <v>9</v>
      </c>
      <c r="B102" t="s">
        <v>93</v>
      </c>
      <c r="C102" s="44" t="s">
        <v>106</v>
      </c>
      <c r="D102" s="44" t="s">
        <v>78</v>
      </c>
      <c r="E102" s="20">
        <v>15.045</v>
      </c>
      <c r="F102" s="45">
        <v>0</v>
      </c>
    </row>
    <row r="103" spans="1:6" x14ac:dyDescent="0.25">
      <c r="A103">
        <f>VLOOKUP(B103,'MONTH CONVERSION'!$A$2:$B$13,2,FALSE)</f>
        <v>9</v>
      </c>
      <c r="B103" t="s">
        <v>93</v>
      </c>
      <c r="C103" s="44" t="s">
        <v>106</v>
      </c>
      <c r="D103" s="44" t="s">
        <v>79</v>
      </c>
      <c r="E103" s="20">
        <v>15.045</v>
      </c>
      <c r="F103" s="45">
        <v>0</v>
      </c>
    </row>
    <row r="104" spans="1:6" x14ac:dyDescent="0.25">
      <c r="A104">
        <f>VLOOKUP(B104,'MONTH CONVERSION'!$A$2:$B$13,2,FALSE)</f>
        <v>10</v>
      </c>
      <c r="B104" t="s">
        <v>94</v>
      </c>
      <c r="C104" s="48" t="s">
        <v>106</v>
      </c>
      <c r="D104" s="48" t="s">
        <v>80</v>
      </c>
      <c r="E104" s="20">
        <v>15.045</v>
      </c>
      <c r="F104" s="49">
        <v>0</v>
      </c>
    </row>
    <row r="105" spans="1:6" x14ac:dyDescent="0.25">
      <c r="A105">
        <f>VLOOKUP(B105,'MONTH CONVERSION'!$A$2:$B$13,2,FALSE)</f>
        <v>10</v>
      </c>
      <c r="B105" t="s">
        <v>94</v>
      </c>
      <c r="C105" s="48" t="s">
        <v>106</v>
      </c>
      <c r="D105" s="48" t="s">
        <v>81</v>
      </c>
      <c r="E105" s="20">
        <v>15.045</v>
      </c>
      <c r="F105" s="49">
        <v>0</v>
      </c>
    </row>
    <row r="106" spans="1:6" x14ac:dyDescent="0.25">
      <c r="A106">
        <f>VLOOKUP(B106,'MONTH CONVERSION'!$A$2:$B$13,2,FALSE)</f>
        <v>10</v>
      </c>
      <c r="B106" t="s">
        <v>94</v>
      </c>
      <c r="C106" s="48" t="s">
        <v>106</v>
      </c>
      <c r="D106" s="48" t="s">
        <v>82</v>
      </c>
      <c r="E106" s="20">
        <v>15.045</v>
      </c>
      <c r="F106" s="49">
        <v>0</v>
      </c>
    </row>
    <row r="107" spans="1:6" x14ac:dyDescent="0.25">
      <c r="A107">
        <f>VLOOKUP(B107,'MONTH CONVERSION'!$A$2:$B$13,2,FALSE)</f>
        <v>11</v>
      </c>
      <c r="B107" t="s">
        <v>95</v>
      </c>
      <c r="C107" s="52" t="s">
        <v>106</v>
      </c>
      <c r="D107" s="52" t="s">
        <v>83</v>
      </c>
      <c r="E107" s="20">
        <v>15.045</v>
      </c>
      <c r="F107" s="53">
        <v>0</v>
      </c>
    </row>
    <row r="108" spans="1:6" x14ac:dyDescent="0.25">
      <c r="A108">
        <f>VLOOKUP(B108,'MONTH CONVERSION'!$A$2:$B$13,2,FALSE)</f>
        <v>11</v>
      </c>
      <c r="B108" t="s">
        <v>95</v>
      </c>
      <c r="C108" s="52" t="s">
        <v>106</v>
      </c>
      <c r="D108" s="52" t="s">
        <v>84</v>
      </c>
      <c r="E108" s="20">
        <v>15.045</v>
      </c>
      <c r="F108" s="53">
        <v>0</v>
      </c>
    </row>
    <row r="109" spans="1:6" x14ac:dyDescent="0.25">
      <c r="A109">
        <f>VLOOKUP(B109,'MONTH CONVERSION'!$A$2:$B$13,2,FALSE)</f>
        <v>11</v>
      </c>
      <c r="B109" t="s">
        <v>95</v>
      </c>
      <c r="C109" s="52" t="s">
        <v>106</v>
      </c>
      <c r="D109" s="52" t="s">
        <v>85</v>
      </c>
      <c r="E109" s="20">
        <v>15.045</v>
      </c>
      <c r="F109" s="53">
        <v>0</v>
      </c>
    </row>
    <row r="110" spans="1:6" x14ac:dyDescent="0.25">
      <c r="A110">
        <f>VLOOKUP(B110,'MONTH CONVERSION'!$A$2:$B$13,2,FALSE)</f>
        <v>11</v>
      </c>
      <c r="B110" t="s">
        <v>95</v>
      </c>
      <c r="C110" s="52" t="s">
        <v>106</v>
      </c>
      <c r="D110" s="52" t="s">
        <v>86</v>
      </c>
      <c r="E110" s="20">
        <v>15.045</v>
      </c>
      <c r="F110" s="53">
        <v>0</v>
      </c>
    </row>
    <row r="111" spans="1:6" x14ac:dyDescent="0.25">
      <c r="A111">
        <f>VLOOKUP(B111,'MONTH CONVERSION'!$A$2:$B$13,2,FALSE)</f>
        <v>11</v>
      </c>
      <c r="B111" t="s">
        <v>95</v>
      </c>
      <c r="C111" s="52" t="s">
        <v>106</v>
      </c>
      <c r="D111" s="52" t="s">
        <v>86</v>
      </c>
      <c r="E111" s="20">
        <v>15.045</v>
      </c>
      <c r="F111" s="53">
        <v>0</v>
      </c>
    </row>
    <row r="112" spans="1:6" x14ac:dyDescent="0.25">
      <c r="A112">
        <f>VLOOKUP(B112,'MONTH CONVERSION'!$A$2:$B$13,2,FALSE)</f>
        <v>11</v>
      </c>
      <c r="B112" t="s">
        <v>95</v>
      </c>
      <c r="C112" s="52" t="s">
        <v>106</v>
      </c>
      <c r="D112" s="52" t="s">
        <v>87</v>
      </c>
      <c r="E112" s="20">
        <v>15.045</v>
      </c>
      <c r="F112" s="53">
        <v>0</v>
      </c>
    </row>
    <row r="113" spans="1:6" x14ac:dyDescent="0.25">
      <c r="A113">
        <f>VLOOKUP(B113,'MONTH CONVERSION'!$A$2:$B$13,2,FALSE)</f>
        <v>11</v>
      </c>
      <c r="B113" t="s">
        <v>95</v>
      </c>
      <c r="C113" s="52" t="s">
        <v>106</v>
      </c>
      <c r="D113" s="52" t="s">
        <v>87</v>
      </c>
      <c r="E113" s="20">
        <v>15.045</v>
      </c>
      <c r="F113" s="53">
        <v>0</v>
      </c>
    </row>
    <row r="114" spans="1:6" x14ac:dyDescent="0.25">
      <c r="A114">
        <f>VLOOKUP(B114,'MONTH CONVERSION'!$A$2:$B$13,2,FALSE)</f>
        <v>11</v>
      </c>
      <c r="B114" t="s">
        <v>95</v>
      </c>
      <c r="C114" s="52" t="s">
        <v>106</v>
      </c>
      <c r="D114" s="52" t="s">
        <v>88</v>
      </c>
      <c r="E114" s="20">
        <v>15.045</v>
      </c>
      <c r="F114" s="53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A91EBA-2DF6-44EA-9E58-9CA538D4C6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MONTH CONVERSION</vt:lpstr>
      <vt:lpstr>ZERODHA</vt:lpstr>
      <vt:lpstr>ZERODHA CHARGES</vt:lpstr>
      <vt:lpstr>ZERODHA DEBITS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harshini</dc:creator>
  <cp:lastModifiedBy>harshini</cp:lastModifiedBy>
  <dcterms:created xsi:type="dcterms:W3CDTF">2023-02-15T03:42:39Z</dcterms:created>
  <dcterms:modified xsi:type="dcterms:W3CDTF">2025-01-06T12:43:11Z</dcterms:modified>
</cp:coreProperties>
</file>